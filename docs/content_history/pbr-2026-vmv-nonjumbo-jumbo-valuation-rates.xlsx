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7B590CFF-8EE1-44B8-8DF5-9968690CE407}" xr6:coauthVersionLast="47" xr6:coauthVersionMax="47" xr10:uidLastSave="{00000000-0000-0000-0000-000000000000}"/>
  <bookViews>
    <workbookView xWindow="-110" yWindow="-110" windowWidth="25180" windowHeight="1614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<sst xmlns="http://schemas.openxmlformats.org/spreadsheetml/2006/main" count="122" uniqueCount="43">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</sst>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336550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able%20Calculations/VM-V%202026%20Valuation%20Rate%20Calc.xlsm" TargetMode="External"/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>
            <v>4.2999999999999997E-2</v>
          </cell>
          <cell r="J101">
            <v>4.5900000000000003E-2</v>
          </cell>
          <cell r="K101">
            <v>4.82E-2</v>
          </cell>
          <cell r="L101">
            <v>5.0700000000000002E-2</v>
          </cell>
        </row>
        <row r="102">
          <cell r="H102">
            <v>46120</v>
          </cell>
          <cell r="I102">
            <v>4.2700000000000002E-2</v>
          </cell>
          <cell r="J102">
            <v>4.5699999999999998E-2</v>
          </cell>
          <cell r="K102">
            <v>4.8099999999999997E-2</v>
          </cell>
          <cell r="L102">
            <v>5.0599999999999999E-2</v>
          </cell>
        </row>
        <row r="103">
          <cell r="H103">
            <v>46121</v>
          </cell>
          <cell r="I103">
            <v>4.2200000000000001E-2</v>
          </cell>
          <cell r="J103">
            <v>4.5199999999999997E-2</v>
          </cell>
          <cell r="K103">
            <v>4.7600000000000003E-2</v>
          </cell>
          <cell r="L103">
            <v>5.0099999999999999E-2</v>
          </cell>
        </row>
        <row r="104">
          <cell r="H104">
            <v>46122</v>
          </cell>
          <cell r="I104">
            <v>4.2099999999999999E-2</v>
          </cell>
          <cell r="J104">
            <v>4.5100000000000001E-2</v>
          </cell>
          <cell r="K104">
            <v>4.7600000000000003E-2</v>
          </cell>
          <cell r="L104">
            <v>5.0200000000000002E-2</v>
          </cell>
        </row>
        <row r="105">
          <cell r="H105">
            <v>46123</v>
          </cell>
          <cell r="I105">
            <v>4.2299999999999997E-2</v>
          </cell>
          <cell r="J105">
            <v>4.5400000000000003E-2</v>
          </cell>
          <cell r="K105">
            <v>4.7800000000000002E-2</v>
          </cell>
          <cell r="L105">
            <v>5.04E-2</v>
          </cell>
        </row>
        <row r="106">
          <cell r="H106">
            <v>46124</v>
          </cell>
          <cell r="I106">
            <v>4.2299999999999997E-2</v>
          </cell>
          <cell r="J106">
            <v>4.5400000000000003E-2</v>
          </cell>
          <cell r="K106">
            <v>4.7800000000000002E-2</v>
          </cell>
          <cell r="L106">
            <v>5.04E-2</v>
          </cell>
        </row>
        <row r="107">
          <cell r="H107">
            <v>46125</v>
          </cell>
          <cell r="I107">
            <v>4.2299999999999997E-2</v>
          </cell>
          <cell r="J107">
            <v>4.5400000000000003E-2</v>
          </cell>
          <cell r="K107">
            <v>4.7800000000000002E-2</v>
          </cell>
          <cell r="L107">
            <v>5.04E-2</v>
          </cell>
        </row>
        <row r="108">
          <cell r="H108">
            <v>46126</v>
          </cell>
          <cell r="I108">
            <v>4.2000000000000003E-2</v>
          </cell>
          <cell r="J108">
            <v>4.4999999999999998E-2</v>
          </cell>
          <cell r="K108">
            <v>4.7500000000000001E-2</v>
          </cell>
          <cell r="L108">
            <v>5.0099999999999999E-2</v>
          </cell>
        </row>
        <row r="109">
          <cell r="H109">
            <v>46127</v>
          </cell>
          <cell r="I109">
            <v>4.1399999999999999E-2</v>
          </cell>
          <cell r="J109">
            <v>4.4400000000000002E-2</v>
          </cell>
          <cell r="K109">
            <v>4.6800000000000001E-2</v>
          </cell>
          <cell r="L109">
            <v>4.9500000000000002E-2</v>
          </cell>
        </row>
        <row r="110">
          <cell r="H110">
            <v>46128</v>
          </cell>
          <cell r="I110">
            <v>4.1599999999999998E-2</v>
          </cell>
          <cell r="J110">
            <v>4.4600000000000001E-2</v>
          </cell>
          <cell r="K110">
            <v>4.7100000000000003E-2</v>
          </cell>
          <cell r="L110">
            <v>4.9700000000000001E-2</v>
          </cell>
        </row>
        <row r="111">
          <cell r="H111">
            <v>46129</v>
          </cell>
          <cell r="I111">
            <v>4.19E-2</v>
          </cell>
          <cell r="J111">
            <v>4.4900000000000002E-2</v>
          </cell>
          <cell r="K111">
            <v>4.7399999999999998E-2</v>
          </cell>
          <cell r="L111">
            <v>5.0099999999999999E-2</v>
          </cell>
        </row>
        <row r="112">
          <cell r="H112">
            <v>46130</v>
          </cell>
          <cell r="I112">
            <v>4.1099999999999998E-2</v>
          </cell>
          <cell r="J112">
            <v>4.4200000000000003E-2</v>
          </cell>
          <cell r="K112">
            <v>4.6699999999999998E-2</v>
          </cell>
          <cell r="L112">
            <v>4.9399999999999999E-2</v>
          </cell>
        </row>
        <row r="113">
          <cell r="H113">
            <v>46131</v>
          </cell>
          <cell r="I113">
            <v>4.1099999999999998E-2</v>
          </cell>
          <cell r="J113">
            <v>4.4200000000000003E-2</v>
          </cell>
          <cell r="K113">
            <v>4.6699999999999998E-2</v>
          </cell>
          <cell r="L113">
            <v>4.9399999999999999E-2</v>
          </cell>
        </row>
        <row r="114">
          <cell r="H114">
            <v>46132</v>
          </cell>
          <cell r="I114">
            <v>4.1099999999999998E-2</v>
          </cell>
          <cell r="J114">
            <v>4.4200000000000003E-2</v>
          </cell>
          <cell r="K114">
            <v>4.6699999999999998E-2</v>
          </cell>
          <cell r="L114">
            <v>4.9399999999999999E-2</v>
          </cell>
        </row>
        <row r="115">
          <cell r="H115">
            <v>46133</v>
          </cell>
          <cell r="I115">
            <v>4.1300000000000003E-2</v>
          </cell>
          <cell r="J115">
            <v>4.4400000000000002E-2</v>
          </cell>
          <cell r="K115">
            <v>4.6899999999999997E-2</v>
          </cell>
          <cell r="L115">
            <v>4.9500000000000002E-2</v>
          </cell>
        </row>
        <row r="116">
          <cell r="H116">
            <v>46134</v>
          </cell>
          <cell r="I116">
            <v>4.19E-2</v>
          </cell>
          <cell r="J116">
            <v>4.4900000000000002E-2</v>
          </cell>
          <cell r="K116">
            <v>4.7300000000000002E-2</v>
          </cell>
          <cell r="L116">
            <v>4.99E-2</v>
          </cell>
        </row>
        <row r="117">
          <cell r="H117">
            <v>46135</v>
          </cell>
          <cell r="I117">
            <v>4.1700000000000001E-2</v>
          </cell>
          <cell r="J117">
            <v>4.4699999999999997E-2</v>
          </cell>
          <cell r="K117">
            <v>4.7100000000000003E-2</v>
          </cell>
          <cell r="L117">
            <v>4.9799999999999997E-2</v>
          </cell>
        </row>
        <row r="118">
          <cell r="H118">
            <v>46136</v>
          </cell>
          <cell r="I118">
            <v>4.2000000000000003E-2</v>
          </cell>
          <cell r="J118">
            <v>4.4999999999999998E-2</v>
          </cell>
          <cell r="K118">
            <v>4.7399999999999998E-2</v>
          </cell>
          <cell r="L118">
            <v>0.05</v>
          </cell>
        </row>
        <row r="119">
          <cell r="H119">
            <v>46137</v>
          </cell>
          <cell r="I119">
            <v>4.1700000000000001E-2</v>
          </cell>
          <cell r="J119">
            <v>4.48E-2</v>
          </cell>
          <cell r="K119">
            <v>4.7199999999999999E-2</v>
          </cell>
          <cell r="L119">
            <v>4.99E-2</v>
          </cell>
        </row>
        <row r="120">
          <cell r="H120">
            <v>46138</v>
          </cell>
          <cell r="I120">
            <v>4.1700000000000001E-2</v>
          </cell>
          <cell r="J120">
            <v>4.48E-2</v>
          </cell>
          <cell r="K120">
            <v>4.7199999999999999E-2</v>
          </cell>
          <cell r="L120">
            <v>4.99E-2</v>
          </cell>
        </row>
        <row r="121">
          <cell r="H121">
            <v>46139</v>
          </cell>
          <cell r="I121">
            <v>4.1700000000000001E-2</v>
          </cell>
          <cell r="J121">
            <v>4.48E-2</v>
          </cell>
          <cell r="K121">
            <v>4.7199999999999999E-2</v>
          </cell>
          <cell r="L121">
            <v>4.99E-2</v>
          </cell>
        </row>
        <row r="122">
          <cell r="H122">
            <v>46140</v>
          </cell>
          <cell r="I122">
            <v>4.2000000000000003E-2</v>
          </cell>
          <cell r="J122">
            <v>4.5199999999999997E-2</v>
          </cell>
          <cell r="K122">
            <v>4.7699999999999999E-2</v>
          </cell>
          <cell r="L122">
            <v>5.0299999999999997E-2</v>
          </cell>
        </row>
        <row r="123">
          <cell r="H123">
            <v>46141</v>
          </cell>
          <cell r="I123">
            <v>4.2299999999999997E-2</v>
          </cell>
          <cell r="J123">
            <v>4.5400000000000003E-2</v>
          </cell>
          <cell r="K123">
            <v>4.7800000000000002E-2</v>
          </cell>
          <cell r="L123">
            <v>5.04E-2</v>
          </cell>
        </row>
        <row r="124">
          <cell r="H124">
            <v>46142</v>
          </cell>
          <cell r="I124">
            <v>4.2999999999999997E-2</v>
          </cell>
          <cell r="J124">
            <v>4.5999999999999999E-2</v>
          </cell>
          <cell r="K124">
            <v>4.8399999999999999E-2</v>
          </cell>
          <cell r="L124">
            <v>5.0900000000000001E-2</v>
          </cell>
        </row>
        <row r="125">
          <cell r="H125">
            <v>46143</v>
          </cell>
          <cell r="I125">
            <v>4.2999999999999997E-2</v>
          </cell>
          <cell r="J125">
            <v>4.5999999999999999E-2</v>
          </cell>
          <cell r="K125">
            <v>4.8500000000000001E-2</v>
          </cell>
          <cell r="L125">
            <v>5.11E-2</v>
          </cell>
        </row>
        <row r="126">
          <cell r="H126">
            <v>46144</v>
          </cell>
          <cell r="I126">
            <v>4.2900000000000001E-2</v>
          </cell>
          <cell r="J126">
            <v>4.5900000000000003E-2</v>
          </cell>
          <cell r="K126">
            <v>4.8300000000000003E-2</v>
          </cell>
          <cell r="L126">
            <v>5.0900000000000001E-2</v>
          </cell>
        </row>
        <row r="127">
          <cell r="H127">
            <v>46145</v>
          </cell>
          <cell r="I127">
            <v>4.2900000000000001E-2</v>
          </cell>
          <cell r="J127">
            <v>4.5900000000000003E-2</v>
          </cell>
          <cell r="K127">
            <v>4.8300000000000003E-2</v>
          </cell>
          <cell r="L127">
            <v>5.0900000000000001E-2</v>
          </cell>
        </row>
        <row r="128">
          <cell r="H128">
            <v>46146</v>
          </cell>
          <cell r="I128">
            <v>4.2900000000000001E-2</v>
          </cell>
          <cell r="J128">
            <v>4.5900000000000003E-2</v>
          </cell>
          <cell r="K128">
            <v>4.8300000000000003E-2</v>
          </cell>
          <cell r="L128">
            <v>5.0900000000000001E-2</v>
          </cell>
        </row>
        <row r="129">
          <cell r="H129">
            <v>46147</v>
          </cell>
          <cell r="I129" t="str">
            <v xml:space="preserve"> </v>
          </cell>
          <cell r="J129" t="str">
            <v xml:space="preserve"> </v>
          </cell>
          <cell r="K129" t="str">
            <v xml:space="preserve"> </v>
          </cell>
          <cell r="L129" t="str">
            <v xml:space="preserve"> </v>
          </cell>
        </row>
        <row r="130">
          <cell r="H130">
            <v>46148</v>
          </cell>
          <cell r="I130" t="str">
            <v xml:space="preserve"> </v>
          </cell>
          <cell r="J130" t="str">
            <v xml:space="preserve"> </v>
          </cell>
          <cell r="K130" t="str">
            <v xml:space="preserve"> </v>
          </cell>
          <cell r="L130" t="str">
            <v xml:space="preserve"> </v>
          </cell>
        </row>
        <row r="131">
          <cell r="H131">
            <v>46149</v>
          </cell>
          <cell r="I131" t="str">
            <v xml:space="preserve"> </v>
          </cell>
          <cell r="J131" t="str">
            <v xml:space="preserve"> </v>
          </cell>
          <cell r="K131" t="str">
            <v xml:space="preserve"> </v>
          </cell>
          <cell r="L131" t="str">
            <v xml:space="preserve"> </v>
          </cell>
        </row>
        <row r="132">
          <cell r="H132">
            <v>46150</v>
          </cell>
          <cell r="I132" t="str">
            <v xml:space="preserve"> </v>
          </cell>
          <cell r="J132" t="str">
            <v xml:space="preserve"> </v>
          </cell>
          <cell r="K132" t="str">
            <v xml:space="preserve"> </v>
          </cell>
          <cell r="L132" t="str">
            <v xml:space="preserve"> </v>
          </cell>
        </row>
        <row r="133">
          <cell r="H133">
            <v>46151</v>
          </cell>
          <cell r="I133" t="str">
            <v xml:space="preserve"> </v>
          </cell>
          <cell r="J133" t="str">
            <v xml:space="preserve"> </v>
          </cell>
          <cell r="K133" t="str">
            <v xml:space="preserve"> </v>
          </cell>
          <cell r="L133" t="str">
            <v xml:space="preserve"> </v>
          </cell>
        </row>
        <row r="134">
          <cell r="H134">
            <v>46152</v>
          </cell>
          <cell r="I134" t="str">
            <v xml:space="preserve"> </v>
          </cell>
          <cell r="J134" t="str">
            <v xml:space="preserve"> </v>
          </cell>
          <cell r="K134" t="str">
            <v xml:space="preserve"> </v>
          </cell>
          <cell r="L134" t="str">
            <v xml:space="preserve"> </v>
          </cell>
        </row>
        <row r="135">
          <cell r="H135">
            <v>46153</v>
          </cell>
          <cell r="I135" t="str">
            <v xml:space="preserve"> </v>
          </cell>
          <cell r="J135" t="str">
            <v xml:space="preserve"> </v>
          </cell>
          <cell r="K135" t="str">
            <v xml:space="preserve"> </v>
          </cell>
          <cell r="L135" t="str">
            <v xml:space="preserve"> </v>
          </cell>
        </row>
        <row r="136">
          <cell r="H136">
            <v>46154</v>
          </cell>
          <cell r="I136" t="str">
            <v xml:space="preserve"> </v>
          </cell>
          <cell r="J136" t="str">
            <v xml:space="preserve"> </v>
          </cell>
          <cell r="K136" t="str">
            <v xml:space="preserve"> </v>
          </cell>
          <cell r="L136" t="str">
            <v xml:space="preserve"> </v>
          </cell>
        </row>
        <row r="137">
          <cell r="H137">
            <v>46155</v>
          </cell>
          <cell r="I137" t="str">
            <v xml:space="preserve"> </v>
          </cell>
          <cell r="J137" t="str">
            <v xml:space="preserve"> </v>
          </cell>
          <cell r="K137" t="str">
            <v xml:space="preserve"> </v>
          </cell>
          <cell r="L137" t="str">
            <v xml:space="preserve"> </v>
          </cell>
        </row>
        <row r="138">
          <cell r="H138">
            <v>46156</v>
          </cell>
          <cell r="I138" t="str">
            <v xml:space="preserve"> </v>
          </cell>
          <cell r="J138" t="str">
            <v xml:space="preserve"> </v>
          </cell>
          <cell r="K138" t="str">
            <v xml:space="preserve"> </v>
          </cell>
          <cell r="L138" t="str">
            <v xml:space="preserve"> </v>
          </cell>
        </row>
        <row r="139">
          <cell r="H139">
            <v>46157</v>
          </cell>
          <cell r="I139" t="str">
            <v xml:space="preserve"> </v>
          </cell>
          <cell r="J139" t="str">
            <v xml:space="preserve"> </v>
          </cell>
          <cell r="K139" t="str">
            <v xml:space="preserve"> </v>
          </cell>
          <cell r="L139" t="str">
            <v xml:space="preserve"> </v>
          </cell>
        </row>
        <row r="140">
          <cell r="H140">
            <v>46158</v>
          </cell>
          <cell r="I140" t="str">
            <v xml:space="preserve"> </v>
          </cell>
          <cell r="J140" t="str">
            <v xml:space="preserve"> </v>
          </cell>
          <cell r="K140" t="str">
            <v xml:space="preserve"> </v>
          </cell>
          <cell r="L140" t="str">
            <v xml:space="preserve"> </v>
          </cell>
        </row>
        <row r="141">
          <cell r="H141">
            <v>46159</v>
          </cell>
          <cell r="I141" t="str">
            <v xml:space="preserve"> </v>
          </cell>
          <cell r="J141" t="str">
            <v xml:space="preserve"> </v>
          </cell>
          <cell r="K141" t="str">
            <v xml:space="preserve"> </v>
          </cell>
          <cell r="L141" t="str">
            <v xml:space="preserve"> </v>
          </cell>
        </row>
        <row r="142">
          <cell r="H142">
            <v>46160</v>
          </cell>
          <cell r="I142" t="str">
            <v xml:space="preserve"> </v>
          </cell>
          <cell r="J142" t="str">
            <v xml:space="preserve"> </v>
          </cell>
          <cell r="K142" t="str">
            <v xml:space="preserve"> </v>
          </cell>
          <cell r="L142" t="str">
            <v xml:space="preserve"> </v>
          </cell>
        </row>
        <row r="143">
          <cell r="H143">
            <v>46161</v>
          </cell>
          <cell r="I143" t="str">
            <v xml:space="preserve"> </v>
          </cell>
          <cell r="J143" t="str">
            <v xml:space="preserve"> </v>
          </cell>
          <cell r="K143" t="str">
            <v xml:space="preserve"> </v>
          </cell>
          <cell r="L143" t="str">
            <v xml:space="preserve"> </v>
          </cell>
        </row>
        <row r="144">
          <cell r="H144">
            <v>46162</v>
          </cell>
          <cell r="I144" t="str">
            <v xml:space="preserve"> </v>
          </cell>
          <cell r="J144" t="str">
            <v xml:space="preserve"> </v>
          </cell>
          <cell r="K144" t="str">
            <v xml:space="preserve"> </v>
          </cell>
          <cell r="L144" t="str">
            <v xml:space="preserve"> </v>
          </cell>
        </row>
        <row r="145">
          <cell r="H145">
            <v>46163</v>
          </cell>
          <cell r="I145" t="str">
            <v xml:space="preserve"> </v>
          </cell>
          <cell r="J145" t="str">
            <v xml:space="preserve"> </v>
          </cell>
          <cell r="K145" t="str">
            <v xml:space="preserve"> </v>
          </cell>
          <cell r="L145" t="str">
            <v xml:space="preserve"> </v>
          </cell>
        </row>
        <row r="146">
          <cell r="H146">
            <v>46164</v>
          </cell>
          <cell r="I146" t="str">
            <v xml:space="preserve"> </v>
          </cell>
          <cell r="J146" t="str">
            <v xml:space="preserve"> </v>
          </cell>
          <cell r="K146" t="str">
            <v xml:space="preserve"> </v>
          </cell>
          <cell r="L146" t="str">
            <v xml:space="preserve"> 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123" activePane="bottomLeft" state="frozen"/>
      <selection pane="bottomLeft" activeCell="E113" sqref="E113"/>
    </sheetView>
  </sheetViews>
  <sheetFormatPr defaultRowHeight="14.5" x14ac:dyDescent="0.35"/>
  <cols>
    <col min="1" max="1" width="23.54296875" customWidth="1"/>
    <col min="2" max="2" width="12.1796875" bestFit="1" customWidth="1"/>
    <col min="3" max="3" width="13.453125" customWidth="1"/>
    <col min="4" max="4" width="14.54296875" customWidth="1"/>
    <col min="5" max="5" width="12.453125" bestFit="1" customWidth="1"/>
  </cols>
  <sheetData>
    <row r="1" spans="1:5" x14ac:dyDescent="0.35">
      <c r="A1" s="46"/>
      <c r="B1" s="51" t="s">
        <v>4</v>
      </c>
      <c r="C1" s="52"/>
      <c r="D1" s="52"/>
      <c r="E1" s="53"/>
    </row>
    <row r="2" spans="1:5" x14ac:dyDescent="0.35">
      <c r="A2" s="13" t="s">
        <v>6</v>
      </c>
      <c r="B2" s="8"/>
      <c r="C2" s="8"/>
      <c r="D2" s="8"/>
      <c r="E2" s="8"/>
    </row>
    <row r="3" spans="1:5" x14ac:dyDescent="0.3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3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3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3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3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3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3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3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3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3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3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3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3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3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3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3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3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3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3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3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3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3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3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3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3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3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3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3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3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3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3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3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3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3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3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3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3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3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3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3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3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3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3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3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3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3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3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3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3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3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3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3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3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3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3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3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3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3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3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3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3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3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3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3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3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3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3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3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3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3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3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3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3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3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3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3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3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3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3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3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3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3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3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3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3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3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3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3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3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3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3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3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3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35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35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35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35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35">
      <c r="A100" s="15">
        <f>'[1]Jumbo Bus Date to PDD'!H101</f>
        <v>46119</v>
      </c>
      <c r="B100" s="17">
        <f ca="1">'[1]Jumbo Bus Date to PDD'!I101</f>
        <v>4.2999999999999997E-2</v>
      </c>
      <c r="C100" s="47">
        <f ca="1">'[1]Jumbo Bus Date to PDD'!J101</f>
        <v>4.5900000000000003E-2</v>
      </c>
      <c r="D100" s="47">
        <f ca="1">'[1]Jumbo Bus Date to PDD'!K101</f>
        <v>4.82E-2</v>
      </c>
      <c r="E100" s="5">
        <f ca="1">'[1]Jumbo Bus Date to PDD'!L101</f>
        <v>5.0700000000000002E-2</v>
      </c>
    </row>
    <row r="101" spans="1:5" x14ac:dyDescent="0.35">
      <c r="A101" s="15">
        <f>'[1]Jumbo Bus Date to PDD'!H102</f>
        <v>46120</v>
      </c>
      <c r="B101" s="17">
        <f ca="1">'[1]Jumbo Bus Date to PDD'!I102</f>
        <v>4.2700000000000002E-2</v>
      </c>
      <c r="C101" s="47">
        <f ca="1">'[1]Jumbo Bus Date to PDD'!J102</f>
        <v>4.5699999999999998E-2</v>
      </c>
      <c r="D101" s="47">
        <f ca="1">'[1]Jumbo Bus Date to PDD'!K102</f>
        <v>4.8099999999999997E-2</v>
      </c>
      <c r="E101" s="5">
        <f ca="1">'[1]Jumbo Bus Date to PDD'!L102</f>
        <v>5.0599999999999999E-2</v>
      </c>
    </row>
    <row r="102" spans="1:5" x14ac:dyDescent="0.35">
      <c r="A102" s="15">
        <f>'[1]Jumbo Bus Date to PDD'!H103</f>
        <v>46121</v>
      </c>
      <c r="B102" s="17">
        <f ca="1">'[1]Jumbo Bus Date to PDD'!I103</f>
        <v>4.2200000000000001E-2</v>
      </c>
      <c r="C102" s="47">
        <f ca="1">'[1]Jumbo Bus Date to PDD'!J103</f>
        <v>4.5199999999999997E-2</v>
      </c>
      <c r="D102" s="47">
        <f ca="1">'[1]Jumbo Bus Date to PDD'!K103</f>
        <v>4.7600000000000003E-2</v>
      </c>
      <c r="E102" s="5">
        <f ca="1">'[1]Jumbo Bus Date to PDD'!L103</f>
        <v>5.0099999999999999E-2</v>
      </c>
    </row>
    <row r="103" spans="1:5" x14ac:dyDescent="0.35">
      <c r="A103" s="15">
        <f>'[1]Jumbo Bus Date to PDD'!H104</f>
        <v>46122</v>
      </c>
      <c r="B103" s="17">
        <f ca="1">'[1]Jumbo Bus Date to PDD'!I104</f>
        <v>4.2099999999999999E-2</v>
      </c>
      <c r="C103" s="47">
        <f ca="1">'[1]Jumbo Bus Date to PDD'!J104</f>
        <v>4.5100000000000001E-2</v>
      </c>
      <c r="D103" s="47">
        <f ca="1">'[1]Jumbo Bus Date to PDD'!K104</f>
        <v>4.7600000000000003E-2</v>
      </c>
      <c r="E103" s="5">
        <f ca="1">'[1]Jumbo Bus Date to PDD'!L104</f>
        <v>5.0200000000000002E-2</v>
      </c>
    </row>
    <row r="104" spans="1:5" x14ac:dyDescent="0.35">
      <c r="A104" s="15">
        <f>'[1]Jumbo Bus Date to PDD'!H105</f>
        <v>46123</v>
      </c>
      <c r="B104" s="17">
        <f ca="1">'[1]Jumbo Bus Date to PDD'!I105</f>
        <v>4.2299999999999997E-2</v>
      </c>
      <c r="C104" s="47">
        <f ca="1">'[1]Jumbo Bus Date to PDD'!J105</f>
        <v>4.5400000000000003E-2</v>
      </c>
      <c r="D104" s="47">
        <f ca="1">'[1]Jumbo Bus Date to PDD'!K105</f>
        <v>4.7800000000000002E-2</v>
      </c>
      <c r="E104" s="5">
        <f ca="1">'[1]Jumbo Bus Date to PDD'!L105</f>
        <v>5.04E-2</v>
      </c>
    </row>
    <row r="105" spans="1:5" x14ac:dyDescent="0.35">
      <c r="A105" s="15">
        <f>'[1]Jumbo Bus Date to PDD'!H106</f>
        <v>46124</v>
      </c>
      <c r="B105" s="17">
        <f ca="1">'[1]Jumbo Bus Date to PDD'!I106</f>
        <v>4.2299999999999997E-2</v>
      </c>
      <c r="C105" s="47">
        <f ca="1">'[1]Jumbo Bus Date to PDD'!J106</f>
        <v>4.5400000000000003E-2</v>
      </c>
      <c r="D105" s="47">
        <f ca="1">'[1]Jumbo Bus Date to PDD'!K106</f>
        <v>4.7800000000000002E-2</v>
      </c>
      <c r="E105" s="5">
        <f ca="1">'[1]Jumbo Bus Date to PDD'!L106</f>
        <v>5.04E-2</v>
      </c>
    </row>
    <row r="106" spans="1:5" x14ac:dyDescent="0.35">
      <c r="A106" s="15">
        <f>'[1]Jumbo Bus Date to PDD'!H107</f>
        <v>46125</v>
      </c>
      <c r="B106" s="17">
        <f ca="1">'[1]Jumbo Bus Date to PDD'!I107</f>
        <v>4.2299999999999997E-2</v>
      </c>
      <c r="C106" s="47">
        <f ca="1">'[1]Jumbo Bus Date to PDD'!J107</f>
        <v>4.5400000000000003E-2</v>
      </c>
      <c r="D106" s="47">
        <f ca="1">'[1]Jumbo Bus Date to PDD'!K107</f>
        <v>4.7800000000000002E-2</v>
      </c>
      <c r="E106" s="5">
        <f ca="1">'[1]Jumbo Bus Date to PDD'!L107</f>
        <v>5.04E-2</v>
      </c>
    </row>
    <row r="107" spans="1:5" x14ac:dyDescent="0.35">
      <c r="A107" s="15">
        <f>'[1]Jumbo Bus Date to PDD'!H108</f>
        <v>46126</v>
      </c>
      <c r="B107" s="17">
        <f ca="1">'[1]Jumbo Bus Date to PDD'!I108</f>
        <v>4.2000000000000003E-2</v>
      </c>
      <c r="C107" s="47">
        <f ca="1">'[1]Jumbo Bus Date to PDD'!J108</f>
        <v>4.4999999999999998E-2</v>
      </c>
      <c r="D107" s="47">
        <f ca="1">'[1]Jumbo Bus Date to PDD'!K108</f>
        <v>4.7500000000000001E-2</v>
      </c>
      <c r="E107" s="5">
        <f ca="1">'[1]Jumbo Bus Date to PDD'!L108</f>
        <v>5.0099999999999999E-2</v>
      </c>
    </row>
    <row r="108" spans="1:5" x14ac:dyDescent="0.35">
      <c r="A108" s="15">
        <f>'[1]Jumbo Bus Date to PDD'!H109</f>
        <v>46127</v>
      </c>
      <c r="B108" s="17">
        <f ca="1">'[1]Jumbo Bus Date to PDD'!I109</f>
        <v>4.1399999999999999E-2</v>
      </c>
      <c r="C108" s="47">
        <f ca="1">'[1]Jumbo Bus Date to PDD'!J109</f>
        <v>4.4400000000000002E-2</v>
      </c>
      <c r="D108" s="47">
        <f ca="1">'[1]Jumbo Bus Date to PDD'!K109</f>
        <v>4.6800000000000001E-2</v>
      </c>
      <c r="E108" s="5">
        <f ca="1">'[1]Jumbo Bus Date to PDD'!L109</f>
        <v>4.9500000000000002E-2</v>
      </c>
    </row>
    <row r="109" spans="1:5" x14ac:dyDescent="0.35">
      <c r="A109" s="15">
        <f>'[1]Jumbo Bus Date to PDD'!H110</f>
        <v>46128</v>
      </c>
      <c r="B109" s="17">
        <f ca="1">'[1]Jumbo Bus Date to PDD'!I110</f>
        <v>4.1599999999999998E-2</v>
      </c>
      <c r="C109" s="47">
        <f ca="1">'[1]Jumbo Bus Date to PDD'!J110</f>
        <v>4.4600000000000001E-2</v>
      </c>
      <c r="D109" s="47">
        <f ca="1">'[1]Jumbo Bus Date to PDD'!K110</f>
        <v>4.7100000000000003E-2</v>
      </c>
      <c r="E109" s="5">
        <f ca="1">'[1]Jumbo Bus Date to PDD'!L110</f>
        <v>4.9700000000000001E-2</v>
      </c>
    </row>
    <row r="110" spans="1:5" x14ac:dyDescent="0.35">
      <c r="A110" s="15">
        <f>'[1]Jumbo Bus Date to PDD'!H111</f>
        <v>46129</v>
      </c>
      <c r="B110" s="17">
        <f ca="1">'[1]Jumbo Bus Date to PDD'!I111</f>
        <v>4.19E-2</v>
      </c>
      <c r="C110" s="47">
        <f ca="1">'[1]Jumbo Bus Date to PDD'!J111</f>
        <v>4.4900000000000002E-2</v>
      </c>
      <c r="D110" s="47">
        <f ca="1">'[1]Jumbo Bus Date to PDD'!K111</f>
        <v>4.7399999999999998E-2</v>
      </c>
      <c r="E110" s="5">
        <f ca="1">'[1]Jumbo Bus Date to PDD'!L111</f>
        <v>5.0099999999999999E-2</v>
      </c>
    </row>
    <row r="111" spans="1:5" x14ac:dyDescent="0.35">
      <c r="A111" s="15">
        <f>'[1]Jumbo Bus Date to PDD'!H112</f>
        <v>46130</v>
      </c>
      <c r="B111" s="17">
        <f ca="1">'[1]Jumbo Bus Date to PDD'!I112</f>
        <v>4.1099999999999998E-2</v>
      </c>
      <c r="C111" s="47">
        <f ca="1">'[1]Jumbo Bus Date to PDD'!J112</f>
        <v>4.4200000000000003E-2</v>
      </c>
      <c r="D111" s="47">
        <f ca="1">'[1]Jumbo Bus Date to PDD'!K112</f>
        <v>4.6699999999999998E-2</v>
      </c>
      <c r="E111" s="5">
        <f ca="1">'[1]Jumbo Bus Date to PDD'!L112</f>
        <v>4.9399999999999999E-2</v>
      </c>
    </row>
    <row r="112" spans="1:5" x14ac:dyDescent="0.35">
      <c r="A112" s="15">
        <f>'[1]Jumbo Bus Date to PDD'!H113</f>
        <v>46131</v>
      </c>
      <c r="B112" s="17">
        <f ca="1">'[1]Jumbo Bus Date to PDD'!I113</f>
        <v>4.1099999999999998E-2</v>
      </c>
      <c r="C112" s="47">
        <f ca="1">'[1]Jumbo Bus Date to PDD'!J113</f>
        <v>4.4200000000000003E-2</v>
      </c>
      <c r="D112" s="47">
        <f ca="1">'[1]Jumbo Bus Date to PDD'!K113</f>
        <v>4.6699999999999998E-2</v>
      </c>
      <c r="E112" s="5">
        <f ca="1">'[1]Jumbo Bus Date to PDD'!L113</f>
        <v>4.9399999999999999E-2</v>
      </c>
    </row>
    <row r="113" spans="1:5" x14ac:dyDescent="0.35">
      <c r="A113" s="15">
        <f>'[1]Jumbo Bus Date to PDD'!H114</f>
        <v>46132</v>
      </c>
      <c r="B113" s="17">
        <f ca="1">'[1]Jumbo Bus Date to PDD'!I114</f>
        <v>4.1099999999999998E-2</v>
      </c>
      <c r="C113" s="47">
        <f ca="1">'[1]Jumbo Bus Date to PDD'!J114</f>
        <v>4.4200000000000003E-2</v>
      </c>
      <c r="D113" s="47">
        <f ca="1">'[1]Jumbo Bus Date to PDD'!K114</f>
        <v>4.6699999999999998E-2</v>
      </c>
      <c r="E113" s="5">
        <f ca="1">'[1]Jumbo Bus Date to PDD'!L114</f>
        <v>4.9399999999999999E-2</v>
      </c>
    </row>
    <row r="114" spans="1:5" x14ac:dyDescent="0.35">
      <c r="A114" s="15">
        <f>'[1]Jumbo Bus Date to PDD'!H115</f>
        <v>46133</v>
      </c>
      <c r="B114" s="17">
        <f ca="1">'[1]Jumbo Bus Date to PDD'!I115</f>
        <v>4.1300000000000003E-2</v>
      </c>
      <c r="C114" s="47">
        <f ca="1">'[1]Jumbo Bus Date to PDD'!J115</f>
        <v>4.4400000000000002E-2</v>
      </c>
      <c r="D114" s="47">
        <f ca="1">'[1]Jumbo Bus Date to PDD'!K115</f>
        <v>4.6899999999999997E-2</v>
      </c>
      <c r="E114" s="5">
        <f ca="1">'[1]Jumbo Bus Date to PDD'!L115</f>
        <v>4.9500000000000002E-2</v>
      </c>
    </row>
    <row r="115" spans="1:5" x14ac:dyDescent="0.35">
      <c r="A115" s="15">
        <f>'[1]Jumbo Bus Date to PDD'!H116</f>
        <v>46134</v>
      </c>
      <c r="B115" s="17">
        <f ca="1">'[1]Jumbo Bus Date to PDD'!I116</f>
        <v>4.19E-2</v>
      </c>
      <c r="C115" s="47">
        <f ca="1">'[1]Jumbo Bus Date to PDD'!J116</f>
        <v>4.4900000000000002E-2</v>
      </c>
      <c r="D115" s="47">
        <f ca="1">'[1]Jumbo Bus Date to PDD'!K116</f>
        <v>4.7300000000000002E-2</v>
      </c>
      <c r="E115" s="5">
        <f ca="1">'[1]Jumbo Bus Date to PDD'!L116</f>
        <v>4.99E-2</v>
      </c>
    </row>
    <row r="116" spans="1:5" x14ac:dyDescent="0.35">
      <c r="A116" s="15">
        <f>'[1]Jumbo Bus Date to PDD'!H117</f>
        <v>46135</v>
      </c>
      <c r="B116" s="17">
        <f ca="1">'[1]Jumbo Bus Date to PDD'!I117</f>
        <v>4.1700000000000001E-2</v>
      </c>
      <c r="C116" s="47">
        <f ca="1">'[1]Jumbo Bus Date to PDD'!J117</f>
        <v>4.4699999999999997E-2</v>
      </c>
      <c r="D116" s="47">
        <f ca="1">'[1]Jumbo Bus Date to PDD'!K117</f>
        <v>4.7100000000000003E-2</v>
      </c>
      <c r="E116" s="5">
        <f ca="1">'[1]Jumbo Bus Date to PDD'!L117</f>
        <v>4.9799999999999997E-2</v>
      </c>
    </row>
    <row r="117" spans="1:5" x14ac:dyDescent="0.35">
      <c r="A117" s="15">
        <f>'[1]Jumbo Bus Date to PDD'!H118</f>
        <v>46136</v>
      </c>
      <c r="B117" s="17">
        <f ca="1">'[1]Jumbo Bus Date to PDD'!I118</f>
        <v>4.2000000000000003E-2</v>
      </c>
      <c r="C117" s="47">
        <f ca="1">'[1]Jumbo Bus Date to PDD'!J118</f>
        <v>4.4999999999999998E-2</v>
      </c>
      <c r="D117" s="47">
        <f ca="1">'[1]Jumbo Bus Date to PDD'!K118</f>
        <v>4.7399999999999998E-2</v>
      </c>
      <c r="E117" s="5">
        <f ca="1">'[1]Jumbo Bus Date to PDD'!L118</f>
        <v>0.05</v>
      </c>
    </row>
    <row r="118" spans="1:5" x14ac:dyDescent="0.35">
      <c r="A118" s="15">
        <f>'[1]Jumbo Bus Date to PDD'!H119</f>
        <v>46137</v>
      </c>
      <c r="B118" s="17">
        <f ca="1">'[1]Jumbo Bus Date to PDD'!I119</f>
        <v>4.1700000000000001E-2</v>
      </c>
      <c r="C118" s="47">
        <f ca="1">'[1]Jumbo Bus Date to PDD'!J119</f>
        <v>4.48E-2</v>
      </c>
      <c r="D118" s="47">
        <f ca="1">'[1]Jumbo Bus Date to PDD'!K119</f>
        <v>4.7199999999999999E-2</v>
      </c>
      <c r="E118" s="5">
        <f ca="1">'[1]Jumbo Bus Date to PDD'!L119</f>
        <v>4.99E-2</v>
      </c>
    </row>
    <row r="119" spans="1:5" x14ac:dyDescent="0.35">
      <c r="A119" s="15">
        <f>'[1]Jumbo Bus Date to PDD'!H120</f>
        <v>46138</v>
      </c>
      <c r="B119" s="17">
        <f ca="1">'[1]Jumbo Bus Date to PDD'!I120</f>
        <v>4.1700000000000001E-2</v>
      </c>
      <c r="C119" s="47">
        <f ca="1">'[1]Jumbo Bus Date to PDD'!J120</f>
        <v>4.48E-2</v>
      </c>
      <c r="D119" s="47">
        <f ca="1">'[1]Jumbo Bus Date to PDD'!K120</f>
        <v>4.7199999999999999E-2</v>
      </c>
      <c r="E119" s="5">
        <f ca="1">'[1]Jumbo Bus Date to PDD'!L120</f>
        <v>4.99E-2</v>
      </c>
    </row>
    <row r="120" spans="1:5" x14ac:dyDescent="0.35">
      <c r="A120" s="15">
        <f>'[1]Jumbo Bus Date to PDD'!H121</f>
        <v>46139</v>
      </c>
      <c r="B120" s="17">
        <f ca="1">'[1]Jumbo Bus Date to PDD'!I121</f>
        <v>4.1700000000000001E-2</v>
      </c>
      <c r="C120" s="47">
        <f ca="1">'[1]Jumbo Bus Date to PDD'!J121</f>
        <v>4.48E-2</v>
      </c>
      <c r="D120" s="47">
        <f ca="1">'[1]Jumbo Bus Date to PDD'!K121</f>
        <v>4.7199999999999999E-2</v>
      </c>
      <c r="E120" s="5">
        <f ca="1">'[1]Jumbo Bus Date to PDD'!L121</f>
        <v>4.99E-2</v>
      </c>
    </row>
    <row r="121" spans="1:5" x14ac:dyDescent="0.35">
      <c r="A121" s="15">
        <f>'[1]Jumbo Bus Date to PDD'!H122</f>
        <v>46140</v>
      </c>
      <c r="B121" s="17">
        <f ca="1">'[1]Jumbo Bus Date to PDD'!I122</f>
        <v>4.2000000000000003E-2</v>
      </c>
      <c r="C121" s="47">
        <f ca="1">'[1]Jumbo Bus Date to PDD'!J122</f>
        <v>4.5199999999999997E-2</v>
      </c>
      <c r="D121" s="47">
        <f ca="1">'[1]Jumbo Bus Date to PDD'!K122</f>
        <v>4.7699999999999999E-2</v>
      </c>
      <c r="E121" s="5">
        <f ca="1">'[1]Jumbo Bus Date to PDD'!L122</f>
        <v>5.0299999999999997E-2</v>
      </c>
    </row>
    <row r="122" spans="1:5" x14ac:dyDescent="0.35">
      <c r="A122" s="15">
        <f>'[1]Jumbo Bus Date to PDD'!H123</f>
        <v>46141</v>
      </c>
      <c r="B122" s="17">
        <f ca="1">'[1]Jumbo Bus Date to PDD'!I123</f>
        <v>4.2299999999999997E-2</v>
      </c>
      <c r="C122" s="47">
        <f ca="1">'[1]Jumbo Bus Date to PDD'!J123</f>
        <v>4.5400000000000003E-2</v>
      </c>
      <c r="D122" s="47">
        <f ca="1">'[1]Jumbo Bus Date to PDD'!K123</f>
        <v>4.7800000000000002E-2</v>
      </c>
      <c r="E122" s="5">
        <f ca="1">'[1]Jumbo Bus Date to PDD'!L123</f>
        <v>5.04E-2</v>
      </c>
    </row>
    <row r="123" spans="1:5" x14ac:dyDescent="0.35">
      <c r="A123" s="15">
        <f>'[1]Jumbo Bus Date to PDD'!H124</f>
        <v>46142</v>
      </c>
      <c r="B123" s="17">
        <f ca="1">'[1]Jumbo Bus Date to PDD'!I124</f>
        <v>4.2999999999999997E-2</v>
      </c>
      <c r="C123" s="47">
        <f ca="1">'[1]Jumbo Bus Date to PDD'!J124</f>
        <v>4.5999999999999999E-2</v>
      </c>
      <c r="D123" s="47">
        <f ca="1">'[1]Jumbo Bus Date to PDD'!K124</f>
        <v>4.8399999999999999E-2</v>
      </c>
      <c r="E123" s="5">
        <f ca="1">'[1]Jumbo Bus Date to PDD'!L124</f>
        <v>5.0900000000000001E-2</v>
      </c>
    </row>
    <row r="124" spans="1:5" x14ac:dyDescent="0.35">
      <c r="A124" s="15">
        <f>'[1]Jumbo Bus Date to PDD'!H125</f>
        <v>46143</v>
      </c>
      <c r="B124" s="17">
        <f ca="1">'[1]Jumbo Bus Date to PDD'!I125</f>
        <v>4.2999999999999997E-2</v>
      </c>
      <c r="C124" s="47">
        <f ca="1">'[1]Jumbo Bus Date to PDD'!J125</f>
        <v>4.5999999999999999E-2</v>
      </c>
      <c r="D124" s="47">
        <f ca="1">'[1]Jumbo Bus Date to PDD'!K125</f>
        <v>4.8500000000000001E-2</v>
      </c>
      <c r="E124" s="5">
        <f ca="1">'[1]Jumbo Bus Date to PDD'!L125</f>
        <v>5.11E-2</v>
      </c>
    </row>
    <row r="125" spans="1:5" x14ac:dyDescent="0.35">
      <c r="A125" s="15">
        <f>'[1]Jumbo Bus Date to PDD'!H126</f>
        <v>46144</v>
      </c>
      <c r="B125" s="17">
        <f ca="1">'[1]Jumbo Bus Date to PDD'!I126</f>
        <v>4.2900000000000001E-2</v>
      </c>
      <c r="C125" s="47">
        <f ca="1">'[1]Jumbo Bus Date to PDD'!J126</f>
        <v>4.5900000000000003E-2</v>
      </c>
      <c r="D125" s="47">
        <f ca="1">'[1]Jumbo Bus Date to PDD'!K126</f>
        <v>4.8300000000000003E-2</v>
      </c>
      <c r="E125" s="5">
        <f ca="1">'[1]Jumbo Bus Date to PDD'!L126</f>
        <v>5.0900000000000001E-2</v>
      </c>
    </row>
    <row r="126" spans="1:5" x14ac:dyDescent="0.35">
      <c r="A126" s="15">
        <f>'[1]Jumbo Bus Date to PDD'!H127</f>
        <v>46145</v>
      </c>
      <c r="B126" s="17">
        <f ca="1">'[1]Jumbo Bus Date to PDD'!I127</f>
        <v>4.2900000000000001E-2</v>
      </c>
      <c r="C126" s="47">
        <f ca="1">'[1]Jumbo Bus Date to PDD'!J127</f>
        <v>4.5900000000000003E-2</v>
      </c>
      <c r="D126" s="47">
        <f ca="1">'[1]Jumbo Bus Date to PDD'!K127</f>
        <v>4.8300000000000003E-2</v>
      </c>
      <c r="E126" s="5">
        <f ca="1">'[1]Jumbo Bus Date to PDD'!L127</f>
        <v>5.0900000000000001E-2</v>
      </c>
    </row>
    <row r="127" spans="1:5" x14ac:dyDescent="0.35">
      <c r="A127" s="15">
        <f>'[1]Jumbo Bus Date to PDD'!H128</f>
        <v>46146</v>
      </c>
      <c r="B127" s="17">
        <f ca="1">'[1]Jumbo Bus Date to PDD'!I128</f>
        <v>4.2900000000000001E-2</v>
      </c>
      <c r="C127" s="47">
        <f ca="1">'[1]Jumbo Bus Date to PDD'!J128</f>
        <v>4.5900000000000003E-2</v>
      </c>
      <c r="D127" s="47">
        <f ca="1">'[1]Jumbo Bus Date to PDD'!K128</f>
        <v>4.8300000000000003E-2</v>
      </c>
      <c r="E127" s="5">
        <f ca="1">'[1]Jumbo Bus Date to PDD'!L128</f>
        <v>5.0900000000000001E-2</v>
      </c>
    </row>
    <row r="128" spans="1:5" x14ac:dyDescent="0.35">
      <c r="A128" s="15">
        <f>'[1]Jumbo Bus Date to PDD'!H129</f>
        <v>46147</v>
      </c>
      <c r="B128" s="17" t="str">
        <f ca="1">'[1]Jumbo Bus Date to PDD'!I129</f>
        <v xml:space="preserve"> </v>
      </c>
      <c r="C128" s="47" t="str">
        <f ca="1">'[1]Jumbo Bus Date to PDD'!J129</f>
        <v xml:space="preserve"> </v>
      </c>
      <c r="D128" s="47" t="str">
        <f ca="1">'[1]Jumbo Bus Date to PDD'!K129</f>
        <v xml:space="preserve"> </v>
      </c>
      <c r="E128" s="5" t="str">
        <f ca="1">'[1]Jumbo Bus Date to PDD'!L129</f>
        <v xml:space="preserve"> </v>
      </c>
    </row>
    <row r="129" spans="1:5" x14ac:dyDescent="0.35">
      <c r="A129" s="15">
        <f>'[1]Jumbo Bus Date to PDD'!H130</f>
        <v>46148</v>
      </c>
      <c r="B129" s="17" t="str">
        <f ca="1">'[1]Jumbo Bus Date to PDD'!I130</f>
        <v xml:space="preserve"> </v>
      </c>
      <c r="C129" s="47" t="str">
        <f ca="1">'[1]Jumbo Bus Date to PDD'!J130</f>
        <v xml:space="preserve"> </v>
      </c>
      <c r="D129" s="47" t="str">
        <f ca="1">'[1]Jumbo Bus Date to PDD'!K130</f>
        <v xml:space="preserve"> </v>
      </c>
      <c r="E129" s="5" t="str">
        <f ca="1">'[1]Jumbo Bus Date to PDD'!L130</f>
        <v xml:space="preserve"> </v>
      </c>
    </row>
    <row r="130" spans="1:5" x14ac:dyDescent="0.35">
      <c r="A130" s="15">
        <f>'[1]Jumbo Bus Date to PDD'!H131</f>
        <v>46149</v>
      </c>
      <c r="B130" s="17" t="str">
        <f ca="1">'[1]Jumbo Bus Date to PDD'!I131</f>
        <v xml:space="preserve"> </v>
      </c>
      <c r="C130" s="47" t="str">
        <f ca="1">'[1]Jumbo Bus Date to PDD'!J131</f>
        <v xml:space="preserve"> </v>
      </c>
      <c r="D130" s="47" t="str">
        <f ca="1">'[1]Jumbo Bus Date to PDD'!K131</f>
        <v xml:space="preserve"> </v>
      </c>
      <c r="E130" s="5" t="str">
        <f ca="1">'[1]Jumbo Bus Date to PDD'!L131</f>
        <v xml:space="preserve"> </v>
      </c>
    </row>
    <row r="131" spans="1:5" x14ac:dyDescent="0.35">
      <c r="A131" s="15">
        <f>'[1]Jumbo Bus Date to PDD'!H132</f>
        <v>46150</v>
      </c>
      <c r="B131" s="17" t="str">
        <f ca="1">'[1]Jumbo Bus Date to PDD'!I132</f>
        <v xml:space="preserve"> </v>
      </c>
      <c r="C131" s="47" t="str">
        <f ca="1">'[1]Jumbo Bus Date to PDD'!J132</f>
        <v xml:space="preserve"> </v>
      </c>
      <c r="D131" s="47" t="str">
        <f ca="1">'[1]Jumbo Bus Date to PDD'!K132</f>
        <v xml:space="preserve"> </v>
      </c>
      <c r="E131" s="5" t="str">
        <f ca="1">'[1]Jumbo Bus Date to PDD'!L132</f>
        <v xml:space="preserve"> </v>
      </c>
    </row>
    <row r="132" spans="1:5" x14ac:dyDescent="0.35">
      <c r="A132" s="15">
        <f>'[1]Jumbo Bus Date to PDD'!H133</f>
        <v>46151</v>
      </c>
      <c r="B132" s="17" t="str">
        <f ca="1">'[1]Jumbo Bus Date to PDD'!I133</f>
        <v xml:space="preserve"> </v>
      </c>
      <c r="C132" s="47" t="str">
        <f ca="1">'[1]Jumbo Bus Date to PDD'!J133</f>
        <v xml:space="preserve"> </v>
      </c>
      <c r="D132" s="47" t="str">
        <f ca="1">'[1]Jumbo Bus Date to PDD'!K133</f>
        <v xml:space="preserve"> </v>
      </c>
      <c r="E132" s="5" t="str">
        <f ca="1">'[1]Jumbo Bus Date to PDD'!L133</f>
        <v xml:space="preserve"> </v>
      </c>
    </row>
    <row r="133" spans="1:5" x14ac:dyDescent="0.35">
      <c r="A133" s="15">
        <f>'[1]Jumbo Bus Date to PDD'!H134</f>
        <v>46152</v>
      </c>
      <c r="B133" s="17" t="str">
        <f ca="1">'[1]Jumbo Bus Date to PDD'!I134</f>
        <v xml:space="preserve"> </v>
      </c>
      <c r="C133" s="47" t="str">
        <f ca="1">'[1]Jumbo Bus Date to PDD'!J134</f>
        <v xml:space="preserve"> </v>
      </c>
      <c r="D133" s="47" t="str">
        <f ca="1">'[1]Jumbo Bus Date to PDD'!K134</f>
        <v xml:space="preserve"> </v>
      </c>
      <c r="E133" s="5" t="str">
        <f ca="1">'[1]Jumbo Bus Date to PDD'!L134</f>
        <v xml:space="preserve"> </v>
      </c>
    </row>
    <row r="134" spans="1:5" x14ac:dyDescent="0.35">
      <c r="A134" s="15">
        <f>'[1]Jumbo Bus Date to PDD'!H135</f>
        <v>46153</v>
      </c>
      <c r="B134" s="17" t="str">
        <f ca="1">'[1]Jumbo Bus Date to PDD'!I135</f>
        <v xml:space="preserve"> </v>
      </c>
      <c r="C134" s="47" t="str">
        <f ca="1">'[1]Jumbo Bus Date to PDD'!J135</f>
        <v xml:space="preserve"> </v>
      </c>
      <c r="D134" s="47" t="str">
        <f ca="1">'[1]Jumbo Bus Date to PDD'!K135</f>
        <v xml:space="preserve"> </v>
      </c>
      <c r="E134" s="5" t="str">
        <f ca="1">'[1]Jumbo Bus Date to PDD'!L135</f>
        <v xml:space="preserve"> </v>
      </c>
    </row>
    <row r="135" spans="1:5" x14ac:dyDescent="0.35">
      <c r="A135" s="15">
        <f>'[1]Jumbo Bus Date to PDD'!H136</f>
        <v>46154</v>
      </c>
      <c r="B135" s="17" t="str">
        <f ca="1">'[1]Jumbo Bus Date to PDD'!I136</f>
        <v xml:space="preserve"> </v>
      </c>
      <c r="C135" s="47" t="str">
        <f ca="1">'[1]Jumbo Bus Date to PDD'!J136</f>
        <v xml:space="preserve"> </v>
      </c>
      <c r="D135" s="47" t="str">
        <f ca="1">'[1]Jumbo Bus Date to PDD'!K136</f>
        <v xml:space="preserve"> </v>
      </c>
      <c r="E135" s="5" t="str">
        <f ca="1">'[1]Jumbo Bus Date to PDD'!L136</f>
        <v xml:space="preserve"> </v>
      </c>
    </row>
    <row r="136" spans="1:5" x14ac:dyDescent="0.35">
      <c r="A136" s="15">
        <f>'[1]Jumbo Bus Date to PDD'!H137</f>
        <v>46155</v>
      </c>
      <c r="B136" s="17" t="str">
        <f ca="1">'[1]Jumbo Bus Date to PDD'!I137</f>
        <v xml:space="preserve"> </v>
      </c>
      <c r="C136" s="47" t="str">
        <f ca="1">'[1]Jumbo Bus Date to PDD'!J137</f>
        <v xml:space="preserve"> </v>
      </c>
      <c r="D136" s="47" t="str">
        <f ca="1">'[1]Jumbo Bus Date to PDD'!K137</f>
        <v xml:space="preserve"> </v>
      </c>
      <c r="E136" s="5" t="str">
        <f ca="1">'[1]Jumbo Bus Date to PDD'!L137</f>
        <v xml:space="preserve"> </v>
      </c>
    </row>
    <row r="137" spans="1:5" x14ac:dyDescent="0.35">
      <c r="A137" s="15">
        <f>'[1]Jumbo Bus Date to PDD'!H138</f>
        <v>46156</v>
      </c>
      <c r="B137" s="17" t="str">
        <f ca="1">'[1]Jumbo Bus Date to PDD'!I138</f>
        <v xml:space="preserve"> </v>
      </c>
      <c r="C137" s="47" t="str">
        <f ca="1">'[1]Jumbo Bus Date to PDD'!J138</f>
        <v xml:space="preserve"> </v>
      </c>
      <c r="D137" s="47" t="str">
        <f ca="1">'[1]Jumbo Bus Date to PDD'!K138</f>
        <v xml:space="preserve"> </v>
      </c>
      <c r="E137" s="5" t="str">
        <f ca="1">'[1]Jumbo Bus Date to PDD'!L138</f>
        <v xml:space="preserve"> </v>
      </c>
    </row>
    <row r="138" spans="1:5" x14ac:dyDescent="0.35">
      <c r="A138" s="15">
        <f>'[1]Jumbo Bus Date to PDD'!H139</f>
        <v>46157</v>
      </c>
      <c r="B138" s="17" t="str">
        <f ca="1">'[1]Jumbo Bus Date to PDD'!I139</f>
        <v xml:space="preserve"> </v>
      </c>
      <c r="C138" s="47" t="str">
        <f ca="1">'[1]Jumbo Bus Date to PDD'!J139</f>
        <v xml:space="preserve"> </v>
      </c>
      <c r="D138" s="47" t="str">
        <f ca="1">'[1]Jumbo Bus Date to PDD'!K139</f>
        <v xml:space="preserve"> </v>
      </c>
      <c r="E138" s="5" t="str">
        <f ca="1">'[1]Jumbo Bus Date to PDD'!L139</f>
        <v xml:space="preserve"> </v>
      </c>
    </row>
    <row r="139" spans="1:5" x14ac:dyDescent="0.35">
      <c r="A139" s="15">
        <f>'[1]Jumbo Bus Date to PDD'!H140</f>
        <v>46158</v>
      </c>
      <c r="B139" s="17" t="str">
        <f ca="1">'[1]Jumbo Bus Date to PDD'!I140</f>
        <v xml:space="preserve"> </v>
      </c>
      <c r="C139" s="47" t="str">
        <f ca="1">'[1]Jumbo Bus Date to PDD'!J140</f>
        <v xml:space="preserve"> </v>
      </c>
      <c r="D139" s="47" t="str">
        <f ca="1">'[1]Jumbo Bus Date to PDD'!K140</f>
        <v xml:space="preserve"> </v>
      </c>
      <c r="E139" s="5" t="str">
        <f ca="1">'[1]Jumbo Bus Date to PDD'!L140</f>
        <v xml:space="preserve"> </v>
      </c>
    </row>
    <row r="140" spans="1:5" x14ac:dyDescent="0.35">
      <c r="A140" s="15">
        <f>'[1]Jumbo Bus Date to PDD'!H141</f>
        <v>46159</v>
      </c>
      <c r="B140" s="17" t="str">
        <f ca="1">'[1]Jumbo Bus Date to PDD'!I141</f>
        <v xml:space="preserve"> </v>
      </c>
      <c r="C140" s="47" t="str">
        <f ca="1">'[1]Jumbo Bus Date to PDD'!J141</f>
        <v xml:space="preserve"> </v>
      </c>
      <c r="D140" s="47" t="str">
        <f ca="1">'[1]Jumbo Bus Date to PDD'!K141</f>
        <v xml:space="preserve"> </v>
      </c>
      <c r="E140" s="5" t="str">
        <f ca="1">'[1]Jumbo Bus Date to PDD'!L141</f>
        <v xml:space="preserve"> </v>
      </c>
    </row>
    <row r="141" spans="1:5" x14ac:dyDescent="0.35">
      <c r="A141" s="15">
        <f>'[1]Jumbo Bus Date to PDD'!H142</f>
        <v>46160</v>
      </c>
      <c r="B141" s="17" t="str">
        <f ca="1">'[1]Jumbo Bus Date to PDD'!I142</f>
        <v xml:space="preserve"> </v>
      </c>
      <c r="C141" s="47" t="str">
        <f ca="1">'[1]Jumbo Bus Date to PDD'!J142</f>
        <v xml:space="preserve"> </v>
      </c>
      <c r="D141" s="47" t="str">
        <f ca="1">'[1]Jumbo Bus Date to PDD'!K142</f>
        <v xml:space="preserve"> </v>
      </c>
      <c r="E141" s="5" t="str">
        <f ca="1">'[1]Jumbo Bus Date to PDD'!L142</f>
        <v xml:space="preserve"> </v>
      </c>
    </row>
    <row r="142" spans="1:5" x14ac:dyDescent="0.35">
      <c r="A142" s="15">
        <f>'[1]Jumbo Bus Date to PDD'!H143</f>
        <v>46161</v>
      </c>
      <c r="B142" s="17" t="str">
        <f ca="1">'[1]Jumbo Bus Date to PDD'!I143</f>
        <v xml:space="preserve"> </v>
      </c>
      <c r="C142" s="47" t="str">
        <f ca="1">'[1]Jumbo Bus Date to PDD'!J143</f>
        <v xml:space="preserve"> </v>
      </c>
      <c r="D142" s="47" t="str">
        <f ca="1">'[1]Jumbo Bus Date to PDD'!K143</f>
        <v xml:space="preserve"> </v>
      </c>
      <c r="E142" s="5" t="str">
        <f ca="1">'[1]Jumbo Bus Date to PDD'!L143</f>
        <v xml:space="preserve"> </v>
      </c>
    </row>
    <row r="143" spans="1:5" x14ac:dyDescent="0.35">
      <c r="A143" s="15">
        <f>'[1]Jumbo Bus Date to PDD'!H144</f>
        <v>46162</v>
      </c>
      <c r="B143" s="17" t="str">
        <f ca="1">'[1]Jumbo Bus Date to PDD'!I144</f>
        <v xml:space="preserve"> </v>
      </c>
      <c r="C143" s="47" t="str">
        <f ca="1">'[1]Jumbo Bus Date to PDD'!J144</f>
        <v xml:space="preserve"> </v>
      </c>
      <c r="D143" s="47" t="str">
        <f ca="1">'[1]Jumbo Bus Date to PDD'!K144</f>
        <v xml:space="preserve"> </v>
      </c>
      <c r="E143" s="5" t="str">
        <f ca="1">'[1]Jumbo Bus Date to PDD'!L144</f>
        <v xml:space="preserve"> </v>
      </c>
    </row>
    <row r="144" spans="1:5" x14ac:dyDescent="0.35">
      <c r="A144" s="15">
        <f>'[1]Jumbo Bus Date to PDD'!H145</f>
        <v>46163</v>
      </c>
      <c r="B144" s="17" t="str">
        <f ca="1">'[1]Jumbo Bus Date to PDD'!I145</f>
        <v xml:space="preserve"> </v>
      </c>
      <c r="C144" s="47" t="str">
        <f ca="1">'[1]Jumbo Bus Date to PDD'!J145</f>
        <v xml:space="preserve"> </v>
      </c>
      <c r="D144" s="47" t="str">
        <f ca="1">'[1]Jumbo Bus Date to PDD'!K145</f>
        <v xml:space="preserve"> </v>
      </c>
      <c r="E144" s="5" t="str">
        <f ca="1">'[1]Jumbo Bus Date to PDD'!L145</f>
        <v xml:space="preserve"> </v>
      </c>
    </row>
    <row r="145" spans="1:5" x14ac:dyDescent="0.35">
      <c r="A145" s="15">
        <f>'[1]Jumbo Bus Date to PDD'!H146</f>
        <v>46164</v>
      </c>
      <c r="B145" s="17" t="str">
        <f ca="1">'[1]Jumbo Bus Date to PDD'!I146</f>
        <v xml:space="preserve"> </v>
      </c>
      <c r="C145" s="47" t="str">
        <f ca="1">'[1]Jumbo Bus Date to PDD'!J146</f>
        <v xml:space="preserve"> </v>
      </c>
      <c r="D145" s="47" t="str">
        <f ca="1">'[1]Jumbo Bus Date to PDD'!K146</f>
        <v xml:space="preserve"> </v>
      </c>
      <c r="E145" s="5" t="str">
        <f ca="1">'[1]Jumbo Bus Date to PDD'!L146</f>
        <v xml:space="preserve"> </v>
      </c>
    </row>
    <row r="146" spans="1:5" x14ac:dyDescent="0.3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3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3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3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3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3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3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3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3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3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3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3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3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3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3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3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3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3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3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3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3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3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3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3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3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3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3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3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3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3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3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3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3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3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3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3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3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3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3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3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3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3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3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3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3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3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3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3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3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3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3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3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3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3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3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3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3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3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3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3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3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3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3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3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3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3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3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3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3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3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3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3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3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3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3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3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3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3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3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3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3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3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3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3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3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3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3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3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3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3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3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3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3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3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3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3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3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3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3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3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3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3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3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3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3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3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3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3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3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3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3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3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3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3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3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3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3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3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3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3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3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3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3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3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3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3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3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3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3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3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3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3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3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3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3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3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3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3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3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3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3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3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3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3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3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3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3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3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3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3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3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3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3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3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3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3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3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3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3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3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3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3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3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3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3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3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3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3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3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3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3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3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3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3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3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3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3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3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3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3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3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3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3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3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3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3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3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3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3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3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3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3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3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3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3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3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3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3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3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3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3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3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3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3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3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3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3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3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3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3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3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3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3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3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3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3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3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3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3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3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3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3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3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3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35">
      <c r="A370" s="15"/>
    </row>
    <row r="371" spans="1:5" x14ac:dyDescent="0.35">
      <c r="A371" s="15"/>
    </row>
    <row r="372" spans="1:5" x14ac:dyDescent="0.35">
      <c r="A372" s="15"/>
    </row>
    <row r="373" spans="1:5" x14ac:dyDescent="0.35">
      <c r="A373" s="15"/>
    </row>
    <row r="374" spans="1:5" x14ac:dyDescent="0.35">
      <c r="A374" s="15"/>
    </row>
    <row r="375" spans="1:5" x14ac:dyDescent="0.35">
      <c r="A375" s="15"/>
    </row>
    <row r="376" spans="1:5" x14ac:dyDescent="0.35">
      <c r="A376" s="15"/>
    </row>
    <row r="377" spans="1:5" x14ac:dyDescent="0.35">
      <c r="A377" s="15"/>
    </row>
    <row r="378" spans="1:5" x14ac:dyDescent="0.35">
      <c r="A378" s="15"/>
    </row>
    <row r="379" spans="1:5" x14ac:dyDescent="0.35">
      <c r="A379" s="15"/>
    </row>
    <row r="380" spans="1:5" x14ac:dyDescent="0.3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7" sqref="B7"/>
    </sheetView>
  </sheetViews>
  <sheetFormatPr defaultRowHeight="14.5" x14ac:dyDescent="0.35"/>
  <cols>
    <col min="1" max="1" width="23" customWidth="1"/>
    <col min="2" max="5" width="13.453125" customWidth="1"/>
  </cols>
  <sheetData>
    <row r="1" spans="1:5" x14ac:dyDescent="0.35">
      <c r="A1" s="54" t="s">
        <v>8</v>
      </c>
      <c r="B1" s="55"/>
      <c r="C1" s="55"/>
      <c r="D1" s="55"/>
      <c r="E1" s="56"/>
    </row>
    <row r="2" spans="1:5" x14ac:dyDescent="0.35">
      <c r="A2" s="1"/>
      <c r="B2" s="2"/>
      <c r="C2" s="2"/>
      <c r="D2" s="2"/>
      <c r="E2" s="3"/>
    </row>
    <row r="3" spans="1:5" x14ac:dyDescent="0.35">
      <c r="A3" s="4"/>
      <c r="B3" s="51" t="s">
        <v>5</v>
      </c>
      <c r="C3" s="52"/>
      <c r="D3" s="52"/>
      <c r="E3" s="53"/>
    </row>
    <row r="4" spans="1:5" x14ac:dyDescent="0.35">
      <c r="A4" s="13" t="s">
        <v>6</v>
      </c>
      <c r="B4" s="8"/>
      <c r="C4" s="8"/>
      <c r="D4" s="8"/>
      <c r="E4" s="8"/>
    </row>
    <row r="5" spans="1:5" x14ac:dyDescent="0.3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3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3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3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3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3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1640625" defaultRowHeight="14.5" x14ac:dyDescent="0.35"/>
  <cols>
    <col min="2" max="7" width="16" customWidth="1"/>
    <col min="8" max="9" width="13.1796875" bestFit="1" customWidth="1"/>
  </cols>
  <sheetData>
    <row r="1" spans="1:9" x14ac:dyDescent="0.35">
      <c r="A1" s="60" t="s">
        <v>41</v>
      </c>
      <c r="B1" s="60"/>
      <c r="C1" s="60"/>
      <c r="D1" s="60"/>
      <c r="E1" s="60"/>
    </row>
    <row r="2" spans="1:9" x14ac:dyDescent="0.35">
      <c r="A2" s="60" t="s">
        <v>42</v>
      </c>
      <c r="B2" s="60"/>
      <c r="C2" s="60"/>
      <c r="D2" s="60"/>
      <c r="E2" s="60"/>
    </row>
    <row r="3" spans="1:9" x14ac:dyDescent="0.35">
      <c r="A3" t="s">
        <v>37</v>
      </c>
    </row>
    <row r="4" spans="1:9" x14ac:dyDescent="0.35">
      <c r="A4" s="51" t="s">
        <v>9</v>
      </c>
      <c r="B4" s="52"/>
      <c r="C4" s="52"/>
      <c r="D4" s="52"/>
      <c r="E4" s="53"/>
    </row>
    <row r="5" spans="1:9" x14ac:dyDescent="0.3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3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3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3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3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35">
      <c r="A10" s="22"/>
      <c r="B10" s="22"/>
      <c r="C10" s="22"/>
      <c r="D10" s="22"/>
      <c r="E10" s="22"/>
      <c r="F10" s="22"/>
    </row>
    <row r="11" spans="1:9" x14ac:dyDescent="0.35">
      <c r="A11" s="22"/>
      <c r="B11" s="22"/>
      <c r="C11" s="22"/>
      <c r="D11" s="22"/>
      <c r="E11" s="22"/>
      <c r="F11" s="22"/>
    </row>
    <row r="12" spans="1:9" x14ac:dyDescent="0.35">
      <c r="A12" t="s">
        <v>38</v>
      </c>
      <c r="B12" s="22"/>
      <c r="C12" s="22"/>
      <c r="D12" s="22"/>
      <c r="E12" s="22"/>
      <c r="F12" s="22"/>
    </row>
    <row r="13" spans="1:9" x14ac:dyDescent="0.35">
      <c r="A13" s="57" t="s">
        <v>9</v>
      </c>
      <c r="B13" s="58"/>
      <c r="C13" s="58"/>
      <c r="D13" s="58"/>
      <c r="E13" s="59"/>
      <c r="F13" s="22"/>
    </row>
    <row r="14" spans="1:9" x14ac:dyDescent="0.3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3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3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3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3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35">
      <c r="A19" s="22"/>
      <c r="B19" s="22"/>
      <c r="C19" s="22"/>
      <c r="D19" s="22"/>
      <c r="E19" s="22"/>
      <c r="F19" s="22"/>
    </row>
    <row r="20" spans="1:13" x14ac:dyDescent="0.35">
      <c r="A20" s="22"/>
      <c r="B20" s="22"/>
      <c r="C20" s="22"/>
      <c r="D20" s="22"/>
      <c r="E20" s="22"/>
      <c r="F20" s="22"/>
    </row>
    <row r="21" spans="1:13" x14ac:dyDescent="0.35">
      <c r="A21" t="s">
        <v>39</v>
      </c>
      <c r="B21" s="22"/>
      <c r="C21" s="22"/>
      <c r="D21" s="22"/>
      <c r="E21" s="22"/>
      <c r="F21" s="22"/>
    </row>
    <row r="22" spans="1:13" x14ac:dyDescent="0.35">
      <c r="A22" s="57" t="s">
        <v>9</v>
      </c>
      <c r="B22" s="58"/>
      <c r="C22" s="58"/>
      <c r="D22" s="59"/>
      <c r="E22" s="22"/>
      <c r="F22" s="22"/>
    </row>
    <row r="23" spans="1:13" x14ac:dyDescent="0.3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3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3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3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3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35">
      <c r="A28" s="22"/>
      <c r="B28" s="22"/>
      <c r="C28" s="22"/>
      <c r="D28" s="22"/>
      <c r="E28" s="22"/>
      <c r="F28" s="22"/>
      <c r="G28" s="22"/>
    </row>
    <row r="29" spans="1:13" x14ac:dyDescent="0.35">
      <c r="A29" t="s">
        <v>40</v>
      </c>
      <c r="B29" s="22"/>
      <c r="C29" s="22"/>
      <c r="D29" s="22"/>
      <c r="E29" s="22"/>
      <c r="F29" s="22"/>
      <c r="G29" s="22"/>
    </row>
    <row r="30" spans="1:13" x14ac:dyDescent="0.35">
      <c r="A30" s="57" t="s">
        <v>9</v>
      </c>
      <c r="B30" s="58"/>
      <c r="C30" s="58"/>
      <c r="D30" s="58"/>
      <c r="E30" s="58"/>
      <c r="F30" s="58"/>
      <c r="G30" s="59"/>
    </row>
    <row r="31" spans="1:13" x14ac:dyDescent="0.3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3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3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3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3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4.5" x14ac:dyDescent="0.35"/>
  <cols>
    <col min="1" max="1" width="11.54296875" customWidth="1"/>
    <col min="13" max="13" width="11.54296875" bestFit="1" customWidth="1"/>
    <col min="25" max="25" width="13" customWidth="1"/>
    <col min="37" max="37" width="13" customWidth="1"/>
  </cols>
  <sheetData>
    <row r="1" spans="1:47" x14ac:dyDescent="0.35">
      <c r="A1" s="61" t="str" cm="1">
        <f t="array" ref="A1">TEXT([1]!Year_of_Valuation,"0000")&amp; " Q1 VM - V Table X"</f>
        <v>2026 Q1 VM - V Table X</v>
      </c>
      <c r="B1" s="62"/>
      <c r="C1" s="62"/>
      <c r="D1" s="62"/>
      <c r="E1" s="62"/>
      <c r="F1" s="62"/>
      <c r="G1" s="62"/>
      <c r="H1" s="62"/>
      <c r="I1" s="62"/>
      <c r="J1" s="62"/>
      <c r="K1" s="63"/>
      <c r="M1" s="61" t="str" cm="1">
        <f t="array" ref="M1">TEXT([1]!Year_of_Valuation,"0000")&amp; " Q2 VM - 22 Table X"</f>
        <v>2026 Q2 VM - 22 Table X</v>
      </c>
      <c r="N1" s="62"/>
      <c r="O1" s="62"/>
      <c r="P1" s="62"/>
      <c r="Q1" s="62"/>
      <c r="R1" s="62"/>
      <c r="S1" s="62"/>
      <c r="T1" s="62"/>
      <c r="U1" s="62"/>
      <c r="V1" s="62"/>
      <c r="W1" s="63"/>
      <c r="Y1" s="61" t="str" cm="1">
        <f t="array" ref="Y1">TEXT([1]!Year_of_Valuation,"0000")&amp; " Q3 VM - 22 Table X"</f>
        <v>2026 Q3 VM - 22 Table X</v>
      </c>
      <c r="Z1" s="62"/>
      <c r="AA1" s="62"/>
      <c r="AB1" s="62"/>
      <c r="AC1" s="62"/>
      <c r="AD1" s="62"/>
      <c r="AE1" s="62"/>
      <c r="AF1" s="62"/>
      <c r="AG1" s="62"/>
      <c r="AH1" s="62"/>
      <c r="AI1" s="63"/>
      <c r="AK1" s="61" t="str" cm="1">
        <f t="array" ref="AK1">TEXT([1]!Year_of_Valuation,"0000")&amp; " Q4 VM - 22 Table X"</f>
        <v>2026 Q4 VM - 22 Table X</v>
      </c>
      <c r="AL1" s="62"/>
      <c r="AM1" s="62"/>
      <c r="AN1" s="62"/>
      <c r="AO1" s="62"/>
      <c r="AP1" s="62"/>
      <c r="AQ1" s="62"/>
      <c r="AR1" s="62"/>
      <c r="AS1" s="62"/>
      <c r="AT1" s="62"/>
      <c r="AU1" s="63"/>
    </row>
    <row r="2" spans="1:47" x14ac:dyDescent="0.35">
      <c r="A2" s="64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5"/>
      <c r="C2" s="65"/>
      <c r="D2" s="65"/>
      <c r="E2" s="65"/>
      <c r="F2" s="65"/>
      <c r="G2" s="65"/>
      <c r="H2" s="65"/>
      <c r="I2" s="65"/>
      <c r="J2" s="65"/>
      <c r="K2" s="66"/>
      <c r="M2" s="64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5"/>
      <c r="O2" s="65"/>
      <c r="P2" s="65"/>
      <c r="Q2" s="65"/>
      <c r="R2" s="65"/>
      <c r="S2" s="65"/>
      <c r="T2" s="65"/>
      <c r="U2" s="65"/>
      <c r="V2" s="65"/>
      <c r="W2" s="66"/>
      <c r="Y2" s="64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5"/>
      <c r="AA2" s="65"/>
      <c r="AB2" s="65"/>
      <c r="AC2" s="65"/>
      <c r="AD2" s="65"/>
      <c r="AE2" s="65"/>
      <c r="AF2" s="65"/>
      <c r="AG2" s="65"/>
      <c r="AH2" s="65"/>
      <c r="AI2" s="66"/>
      <c r="AK2" s="64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5"/>
      <c r="AM2" s="65"/>
      <c r="AN2" s="65"/>
      <c r="AO2" s="65"/>
      <c r="AP2" s="65"/>
      <c r="AQ2" s="65"/>
      <c r="AR2" s="65"/>
      <c r="AS2" s="65"/>
      <c r="AT2" s="65"/>
      <c r="AU2" s="66"/>
    </row>
    <row r="3" spans="1:47" x14ac:dyDescent="0.35">
      <c r="A3" s="40" t="s">
        <v>22</v>
      </c>
      <c r="B3" s="67" t="s">
        <v>23</v>
      </c>
      <c r="C3" s="67"/>
      <c r="D3" s="67"/>
      <c r="E3" s="67"/>
      <c r="F3" s="67"/>
      <c r="G3" s="67"/>
      <c r="H3" s="67"/>
      <c r="I3" s="67"/>
      <c r="J3" s="67"/>
      <c r="K3" s="67"/>
      <c r="M3" s="40" t="s">
        <v>22</v>
      </c>
      <c r="N3" s="67" t="s">
        <v>23</v>
      </c>
      <c r="O3" s="67"/>
      <c r="P3" s="67"/>
      <c r="Q3" s="67"/>
      <c r="R3" s="67"/>
      <c r="S3" s="67"/>
      <c r="T3" s="67"/>
      <c r="U3" s="67"/>
      <c r="V3" s="67"/>
      <c r="W3" s="67"/>
      <c r="Y3" s="40" t="s">
        <v>22</v>
      </c>
      <c r="Z3" s="67" t="s">
        <v>23</v>
      </c>
      <c r="AA3" s="67"/>
      <c r="AB3" s="67"/>
      <c r="AC3" s="67"/>
      <c r="AD3" s="67"/>
      <c r="AE3" s="67"/>
      <c r="AF3" s="67"/>
      <c r="AG3" s="67"/>
      <c r="AH3" s="67"/>
      <c r="AI3" s="67"/>
      <c r="AK3" s="40" t="s">
        <v>22</v>
      </c>
      <c r="AL3" s="67" t="s">
        <v>23</v>
      </c>
      <c r="AM3" s="67"/>
      <c r="AN3" s="67"/>
      <c r="AO3" s="67"/>
      <c r="AP3" s="67"/>
      <c r="AQ3" s="67"/>
      <c r="AR3" s="67"/>
      <c r="AS3" s="67"/>
      <c r="AT3" s="67"/>
      <c r="AU3" s="67"/>
    </row>
    <row r="4" spans="1:47" x14ac:dyDescent="0.3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3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3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3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3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3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3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3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3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3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3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3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3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3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3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3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3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3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3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3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3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3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3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3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3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3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3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3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3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3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3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3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3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4.5" x14ac:dyDescent="0.3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336550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Shade, Brian</cp:lastModifiedBy>
  <cp:lastPrinted>2024-02-15T20:01:27Z</cp:lastPrinted>
  <dcterms:created xsi:type="dcterms:W3CDTF">2017-10-17T19:32:15Z</dcterms:created>
  <dcterms:modified xsi:type="dcterms:W3CDTF">2026-05-04T16:04:58Z</dcterms:modified>
</cp:coreProperties>
</file>