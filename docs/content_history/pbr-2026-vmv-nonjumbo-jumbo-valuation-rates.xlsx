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D330C7B4-70AC-4572-A19F-71624DB8EBF2}" xr6:coauthVersionLast="47" xr6:coauthVersionMax="47" xr10:uidLastSave="{00000000-0000-0000-0000-000000000000}"/>
  <bookViews>
    <workbookView xWindow="34215" yWindow="2340" windowWidth="21600" windowHeight="11295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149" i="4" l="1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<sst xmlns="http://schemas.openxmlformats.org/spreadsheetml/2006/main" count="122" uniqueCount="43">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</sst>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  <cell r="AL6">
            <v>10.81</v>
          </cell>
          <cell r="AM6">
            <v>17.87</v>
          </cell>
          <cell r="AN6">
            <v>24.93</v>
          </cell>
          <cell r="AO6">
            <v>30.59</v>
          </cell>
          <cell r="AP6">
            <v>36.25</v>
          </cell>
          <cell r="AQ6">
            <v>41.91</v>
          </cell>
          <cell r="AR6">
            <v>49.66</v>
          </cell>
          <cell r="AS6">
            <v>57.41</v>
          </cell>
          <cell r="AT6">
            <v>65.16</v>
          </cell>
          <cell r="AU6">
            <v>99.34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  <cell r="AL7">
            <v>11.41</v>
          </cell>
          <cell r="AM7">
            <v>20.11</v>
          </cell>
          <cell r="AN7">
            <v>28.82</v>
          </cell>
          <cell r="AO7">
            <v>35</v>
          </cell>
          <cell r="AP7">
            <v>41.19</v>
          </cell>
          <cell r="AQ7">
            <v>47.38</v>
          </cell>
          <cell r="AR7">
            <v>55.8</v>
          </cell>
          <cell r="AS7">
            <v>64.23</v>
          </cell>
          <cell r="AT7">
            <v>72.650000000000006</v>
          </cell>
          <cell r="AU7">
            <v>103.09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  <cell r="AL8">
            <v>12</v>
          </cell>
          <cell r="AM8">
            <v>22.35</v>
          </cell>
          <cell r="AN8">
            <v>32.71</v>
          </cell>
          <cell r="AO8">
            <v>39.42</v>
          </cell>
          <cell r="AP8">
            <v>46.13</v>
          </cell>
          <cell r="AQ8">
            <v>52.84</v>
          </cell>
          <cell r="AR8">
            <v>61.94</v>
          </cell>
          <cell r="AS8">
            <v>71.040000000000006</v>
          </cell>
          <cell r="AT8">
            <v>80.14</v>
          </cell>
          <cell r="AU8">
            <v>106.83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  <cell r="AL9">
            <v>12.6</v>
          </cell>
          <cell r="AM9">
            <v>24.59</v>
          </cell>
          <cell r="AN9">
            <v>36.590000000000003</v>
          </cell>
          <cell r="AO9">
            <v>43.83</v>
          </cell>
          <cell r="AP9">
            <v>51.06</v>
          </cell>
          <cell r="AQ9">
            <v>58.3</v>
          </cell>
          <cell r="AR9">
            <v>68.08</v>
          </cell>
          <cell r="AS9">
            <v>77.849999999999994</v>
          </cell>
          <cell r="AT9">
            <v>87.63</v>
          </cell>
          <cell r="AU9">
            <v>110.58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  <cell r="AL10">
            <v>14.56</v>
          </cell>
          <cell r="AM10">
            <v>27.41</v>
          </cell>
          <cell r="AN10">
            <v>40.270000000000003</v>
          </cell>
          <cell r="AO10">
            <v>47.8</v>
          </cell>
          <cell r="AP10">
            <v>55.33</v>
          </cell>
          <cell r="AQ10">
            <v>62.86</v>
          </cell>
          <cell r="AR10">
            <v>72.52</v>
          </cell>
          <cell r="AS10">
            <v>82.19</v>
          </cell>
          <cell r="AT10">
            <v>91.85</v>
          </cell>
          <cell r="AU10">
            <v>112.69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  <cell r="AL11">
            <v>16.53</v>
          </cell>
          <cell r="AM11">
            <v>30.23</v>
          </cell>
          <cell r="AN11">
            <v>43.94</v>
          </cell>
          <cell r="AO11">
            <v>51.77</v>
          </cell>
          <cell r="AP11">
            <v>59.59</v>
          </cell>
          <cell r="AQ11">
            <v>67.42</v>
          </cell>
          <cell r="AR11">
            <v>76.97</v>
          </cell>
          <cell r="AS11">
            <v>86.52</v>
          </cell>
          <cell r="AT11">
            <v>96.07</v>
          </cell>
          <cell r="AU11">
            <v>114.8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  <cell r="AL12">
            <v>18.57</v>
          </cell>
          <cell r="AM12">
            <v>33.270000000000003</v>
          </cell>
          <cell r="AN12">
            <v>47.97</v>
          </cell>
          <cell r="AO12">
            <v>55.79</v>
          </cell>
          <cell r="AP12">
            <v>63.62</v>
          </cell>
          <cell r="AQ12">
            <v>71.45</v>
          </cell>
          <cell r="AR12">
            <v>81.069999999999993</v>
          </cell>
          <cell r="AS12">
            <v>90.7</v>
          </cell>
          <cell r="AT12">
            <v>100.33</v>
          </cell>
          <cell r="AU12">
            <v>116.93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  <cell r="AL13">
            <v>20.61</v>
          </cell>
          <cell r="AM13">
            <v>36.299999999999997</v>
          </cell>
          <cell r="AN13">
            <v>51.99</v>
          </cell>
          <cell r="AO13">
            <v>59.82</v>
          </cell>
          <cell r="AP13">
            <v>67.64</v>
          </cell>
          <cell r="AQ13">
            <v>75.47</v>
          </cell>
          <cell r="AR13">
            <v>85.18</v>
          </cell>
          <cell r="AS13">
            <v>94.88</v>
          </cell>
          <cell r="AT13">
            <v>104.59</v>
          </cell>
          <cell r="AU13">
            <v>119.06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  <cell r="AL14">
            <v>22.65</v>
          </cell>
          <cell r="AM14">
            <v>39.33</v>
          </cell>
          <cell r="AN14">
            <v>56.01</v>
          </cell>
          <cell r="AO14">
            <v>63.84</v>
          </cell>
          <cell r="AP14">
            <v>71.67</v>
          </cell>
          <cell r="AQ14">
            <v>79.5</v>
          </cell>
          <cell r="AR14">
            <v>89.28</v>
          </cell>
          <cell r="AS14">
            <v>99.06</v>
          </cell>
          <cell r="AT14">
            <v>108.84</v>
          </cell>
          <cell r="AU14">
            <v>121.18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  <cell r="AL15">
            <v>24.26</v>
          </cell>
          <cell r="AM15">
            <v>40.67</v>
          </cell>
          <cell r="AN15">
            <v>57.09</v>
          </cell>
          <cell r="AO15">
            <v>64.56</v>
          </cell>
          <cell r="AP15">
            <v>72.03</v>
          </cell>
          <cell r="AQ15">
            <v>79.5</v>
          </cell>
          <cell r="AR15">
            <v>89.51</v>
          </cell>
          <cell r="AS15">
            <v>99.53</v>
          </cell>
          <cell r="AT15">
            <v>109.55</v>
          </cell>
          <cell r="AU15">
            <v>121.54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  <cell r="AL16">
            <v>25.86</v>
          </cell>
          <cell r="AM16">
            <v>42.01</v>
          </cell>
          <cell r="AN16">
            <v>58.16</v>
          </cell>
          <cell r="AO16">
            <v>65.27</v>
          </cell>
          <cell r="AP16">
            <v>72.38</v>
          </cell>
          <cell r="AQ16">
            <v>79.5</v>
          </cell>
          <cell r="AR16">
            <v>89.75</v>
          </cell>
          <cell r="AS16">
            <v>100</v>
          </cell>
          <cell r="AT16">
            <v>110.25</v>
          </cell>
          <cell r="AU16">
            <v>121.89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  <cell r="AL17">
            <v>27.47</v>
          </cell>
          <cell r="AM17">
            <v>43.35</v>
          </cell>
          <cell r="AN17">
            <v>59.23</v>
          </cell>
          <cell r="AO17">
            <v>65.989999999999995</v>
          </cell>
          <cell r="AP17">
            <v>72.739999999999995</v>
          </cell>
          <cell r="AQ17">
            <v>79.5</v>
          </cell>
          <cell r="AR17">
            <v>89.98</v>
          </cell>
          <cell r="AS17">
            <v>100.47</v>
          </cell>
          <cell r="AT17">
            <v>110.95</v>
          </cell>
          <cell r="AU17">
            <v>122.24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  <cell r="AL18">
            <v>29.07</v>
          </cell>
          <cell r="AM18">
            <v>44.69</v>
          </cell>
          <cell r="AN18">
            <v>60.3</v>
          </cell>
          <cell r="AO18">
            <v>66.7</v>
          </cell>
          <cell r="AP18">
            <v>73.099999999999994</v>
          </cell>
          <cell r="AQ18">
            <v>79.5</v>
          </cell>
          <cell r="AR18">
            <v>90.22</v>
          </cell>
          <cell r="AS18">
            <v>100.94</v>
          </cell>
          <cell r="AT18">
            <v>111.65</v>
          </cell>
          <cell r="AU18">
            <v>122.59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  <cell r="AL19">
            <v>30.68</v>
          </cell>
          <cell r="AM19">
            <v>46.02</v>
          </cell>
          <cell r="AN19">
            <v>61.37</v>
          </cell>
          <cell r="AO19">
            <v>67.41</v>
          </cell>
          <cell r="AP19">
            <v>73.459999999999994</v>
          </cell>
          <cell r="AQ19">
            <v>79.5</v>
          </cell>
          <cell r="AR19">
            <v>90.45</v>
          </cell>
          <cell r="AS19">
            <v>101.4</v>
          </cell>
          <cell r="AT19">
            <v>112.36</v>
          </cell>
          <cell r="AU19">
            <v>122.94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  <cell r="AL20">
            <v>32.28</v>
          </cell>
          <cell r="AM20">
            <v>47.36</v>
          </cell>
          <cell r="AN20">
            <v>62.44</v>
          </cell>
          <cell r="AO20">
            <v>68.13</v>
          </cell>
          <cell r="AP20">
            <v>73.819999999999993</v>
          </cell>
          <cell r="AQ20">
            <v>79.5</v>
          </cell>
          <cell r="AR20">
            <v>90.69</v>
          </cell>
          <cell r="AS20">
            <v>101.87</v>
          </cell>
          <cell r="AT20">
            <v>113.06</v>
          </cell>
          <cell r="AU20">
            <v>123.29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  <cell r="AL21">
            <v>33.89</v>
          </cell>
          <cell r="AM21">
            <v>48.7</v>
          </cell>
          <cell r="AN21">
            <v>63.51</v>
          </cell>
          <cell r="AO21">
            <v>68.84</v>
          </cell>
          <cell r="AP21">
            <v>74.17</v>
          </cell>
          <cell r="AQ21">
            <v>79.5</v>
          </cell>
          <cell r="AR21">
            <v>90.92</v>
          </cell>
          <cell r="AS21">
            <v>102.34</v>
          </cell>
          <cell r="AT21">
            <v>113.76</v>
          </cell>
          <cell r="AU21">
            <v>123.64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  <cell r="AL22">
            <v>35.49</v>
          </cell>
          <cell r="AM22">
            <v>50.04</v>
          </cell>
          <cell r="AN22">
            <v>64.59</v>
          </cell>
          <cell r="AO22">
            <v>69.56</v>
          </cell>
          <cell r="AP22">
            <v>74.53</v>
          </cell>
          <cell r="AQ22">
            <v>79.5</v>
          </cell>
          <cell r="AR22">
            <v>91.16</v>
          </cell>
          <cell r="AS22">
            <v>102.81</v>
          </cell>
          <cell r="AT22">
            <v>114.46</v>
          </cell>
          <cell r="AU22">
            <v>123.99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  <cell r="AL23">
            <v>37.1</v>
          </cell>
          <cell r="AM23">
            <v>51.38</v>
          </cell>
          <cell r="AN23">
            <v>65.66</v>
          </cell>
          <cell r="AO23">
            <v>70.27</v>
          </cell>
          <cell r="AP23">
            <v>74.89</v>
          </cell>
          <cell r="AQ23">
            <v>79.5</v>
          </cell>
          <cell r="AR23">
            <v>91.39</v>
          </cell>
          <cell r="AS23">
            <v>103.28</v>
          </cell>
          <cell r="AT23">
            <v>115.17</v>
          </cell>
          <cell r="AU23">
            <v>124.35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  <cell r="AL24">
            <v>38.700000000000003</v>
          </cell>
          <cell r="AM24">
            <v>52.72</v>
          </cell>
          <cell r="AN24">
            <v>66.73</v>
          </cell>
          <cell r="AO24">
            <v>70.989999999999995</v>
          </cell>
          <cell r="AP24">
            <v>75.25</v>
          </cell>
          <cell r="AQ24">
            <v>79.5</v>
          </cell>
          <cell r="AR24">
            <v>91.63</v>
          </cell>
          <cell r="AS24">
            <v>103.75</v>
          </cell>
          <cell r="AT24">
            <v>115.87</v>
          </cell>
          <cell r="AU24">
            <v>124.7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  <cell r="AL25">
            <v>40.31</v>
          </cell>
          <cell r="AM25">
            <v>54.05</v>
          </cell>
          <cell r="AN25">
            <v>67.8</v>
          </cell>
          <cell r="AO25">
            <v>71.7</v>
          </cell>
          <cell r="AP25">
            <v>75.599999999999994</v>
          </cell>
          <cell r="AQ25">
            <v>79.5</v>
          </cell>
          <cell r="AR25">
            <v>91.86</v>
          </cell>
          <cell r="AS25">
            <v>104.22</v>
          </cell>
          <cell r="AT25">
            <v>116.57</v>
          </cell>
          <cell r="AU25">
            <v>125.05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  <cell r="AL26">
            <v>41.91</v>
          </cell>
          <cell r="AM26">
            <v>55.39</v>
          </cell>
          <cell r="AN26">
            <v>68.87</v>
          </cell>
          <cell r="AO26">
            <v>72.42</v>
          </cell>
          <cell r="AP26">
            <v>75.959999999999994</v>
          </cell>
          <cell r="AQ26">
            <v>79.5</v>
          </cell>
          <cell r="AR26">
            <v>92.09</v>
          </cell>
          <cell r="AS26">
            <v>104.69</v>
          </cell>
          <cell r="AT26">
            <v>117.28</v>
          </cell>
          <cell r="AU26">
            <v>125.4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  <cell r="AL27">
            <v>43.52</v>
          </cell>
          <cell r="AM27">
            <v>56.73</v>
          </cell>
          <cell r="AN27">
            <v>69.94</v>
          </cell>
          <cell r="AO27">
            <v>73.13</v>
          </cell>
          <cell r="AP27">
            <v>76.319999999999993</v>
          </cell>
          <cell r="AQ27">
            <v>79.5</v>
          </cell>
          <cell r="AR27">
            <v>92.33</v>
          </cell>
          <cell r="AS27">
            <v>105.15</v>
          </cell>
          <cell r="AT27">
            <v>117.98</v>
          </cell>
          <cell r="AU27">
            <v>125.75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  <cell r="AL28">
            <v>45.12</v>
          </cell>
          <cell r="AM28">
            <v>58.07</v>
          </cell>
          <cell r="AN28">
            <v>71.02</v>
          </cell>
          <cell r="AO28">
            <v>73.849999999999994</v>
          </cell>
          <cell r="AP28">
            <v>76.680000000000007</v>
          </cell>
          <cell r="AQ28">
            <v>79.510000000000005</v>
          </cell>
          <cell r="AR28">
            <v>92.56</v>
          </cell>
          <cell r="AS28">
            <v>105.62</v>
          </cell>
          <cell r="AT28">
            <v>118.68</v>
          </cell>
          <cell r="AU28">
            <v>126.1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  <cell r="AL29">
            <v>46.73</v>
          </cell>
          <cell r="AM29">
            <v>59.41</v>
          </cell>
          <cell r="AN29">
            <v>72.09</v>
          </cell>
          <cell r="AO29">
            <v>74.56</v>
          </cell>
          <cell r="AP29">
            <v>77.03</v>
          </cell>
          <cell r="AQ29">
            <v>79.510000000000005</v>
          </cell>
          <cell r="AR29">
            <v>92.8</v>
          </cell>
          <cell r="AS29">
            <v>106.09</v>
          </cell>
          <cell r="AT29">
            <v>119.38</v>
          </cell>
          <cell r="AU29">
            <v>126.45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  <cell r="AL30">
            <v>48.33</v>
          </cell>
          <cell r="AM30">
            <v>60.75</v>
          </cell>
          <cell r="AN30">
            <v>73.16</v>
          </cell>
          <cell r="AO30">
            <v>75.27</v>
          </cell>
          <cell r="AP30">
            <v>77.39</v>
          </cell>
          <cell r="AQ30">
            <v>79.510000000000005</v>
          </cell>
          <cell r="AR30">
            <v>93.03</v>
          </cell>
          <cell r="AS30">
            <v>106.56</v>
          </cell>
          <cell r="AT30">
            <v>120.09</v>
          </cell>
          <cell r="AU30">
            <v>126.81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  <cell r="AL31">
            <v>49.94</v>
          </cell>
          <cell r="AM31">
            <v>62.08</v>
          </cell>
          <cell r="AN31">
            <v>74.23</v>
          </cell>
          <cell r="AO31">
            <v>75.989999999999995</v>
          </cell>
          <cell r="AP31">
            <v>77.75</v>
          </cell>
          <cell r="AQ31">
            <v>79.510000000000005</v>
          </cell>
          <cell r="AR31">
            <v>93.27</v>
          </cell>
          <cell r="AS31">
            <v>107.03</v>
          </cell>
          <cell r="AT31">
            <v>120.79</v>
          </cell>
          <cell r="AU31">
            <v>127.16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  <cell r="AL32">
            <v>51.54</v>
          </cell>
          <cell r="AM32">
            <v>63.42</v>
          </cell>
          <cell r="AN32">
            <v>75.3</v>
          </cell>
          <cell r="AO32">
            <v>76.7</v>
          </cell>
          <cell r="AP32">
            <v>78.11</v>
          </cell>
          <cell r="AQ32">
            <v>79.510000000000005</v>
          </cell>
          <cell r="AR32">
            <v>93.5</v>
          </cell>
          <cell r="AS32">
            <v>107.5</v>
          </cell>
          <cell r="AT32">
            <v>121.49</v>
          </cell>
          <cell r="AU32">
            <v>127.51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  <cell r="AL33">
            <v>53.15</v>
          </cell>
          <cell r="AM33">
            <v>64.760000000000005</v>
          </cell>
          <cell r="AN33">
            <v>76.37</v>
          </cell>
          <cell r="AO33">
            <v>77.42</v>
          </cell>
          <cell r="AP33">
            <v>78.459999999999994</v>
          </cell>
          <cell r="AQ33">
            <v>79.510000000000005</v>
          </cell>
          <cell r="AR33">
            <v>93.74</v>
          </cell>
          <cell r="AS33">
            <v>107.97</v>
          </cell>
          <cell r="AT33">
            <v>122.2</v>
          </cell>
          <cell r="AU33">
            <v>127.86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  <cell r="AL34">
            <v>54.75</v>
          </cell>
          <cell r="AM34">
            <v>66.099999999999994</v>
          </cell>
          <cell r="AN34">
            <v>77.44</v>
          </cell>
          <cell r="AO34">
            <v>78.13</v>
          </cell>
          <cell r="AP34">
            <v>78.819999999999993</v>
          </cell>
          <cell r="AQ34">
            <v>79.510000000000005</v>
          </cell>
          <cell r="AR34">
            <v>93.97</v>
          </cell>
          <cell r="AS34">
            <v>108.43</v>
          </cell>
          <cell r="AT34">
            <v>122.9</v>
          </cell>
          <cell r="AU34">
            <v>128.21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  <cell r="AL35">
            <v>56.36</v>
          </cell>
          <cell r="AM35">
            <v>67.44</v>
          </cell>
          <cell r="AN35">
            <v>78.52</v>
          </cell>
          <cell r="AO35">
            <v>78.849999999999994</v>
          </cell>
          <cell r="AP35">
            <v>79.180000000000007</v>
          </cell>
          <cell r="AQ35">
            <v>79.510000000000005</v>
          </cell>
          <cell r="AR35">
            <v>94.21</v>
          </cell>
          <cell r="AS35">
            <v>108.9</v>
          </cell>
          <cell r="AT35">
            <v>123.6</v>
          </cell>
          <cell r="AU35">
            <v>128.56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  <cell r="AL36">
            <v>32.873333333333328</v>
          </cell>
          <cell r="AM36">
            <v>46.22</v>
          </cell>
          <cell r="AN36">
            <v>59.568333333333342</v>
          </cell>
          <cell r="AO36">
            <v>64.453333333333347</v>
          </cell>
          <cell r="AP36">
            <v>69.338333333333338</v>
          </cell>
          <cell r="AQ36">
            <v>74.223666666666688</v>
          </cell>
          <cell r="AR36">
            <v>85.651999999999987</v>
          </cell>
          <cell r="AS36">
            <v>97.080999999999989</v>
          </cell>
          <cell r="AT36">
            <v>108.51</v>
          </cell>
          <cell r="AU36">
            <v>121.01766666666667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>
            <v>4.2500000000000003E-2</v>
          </cell>
        </row>
        <row r="25">
          <cell r="D25">
            <v>4.4999999999999998E-2</v>
          </cell>
        </row>
        <row r="26">
          <cell r="D26">
            <v>4.7500000000000001E-2</v>
          </cell>
        </row>
        <row r="27">
          <cell r="D27">
            <v>0.05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>
            <v>4.2799999999999998E-2</v>
          </cell>
          <cell r="J154">
            <v>4.5699999999999998E-2</v>
          </cell>
          <cell r="K154">
            <v>4.7899999999999998E-2</v>
          </cell>
          <cell r="L154">
            <v>5.0200000000000002E-2</v>
          </cell>
        </row>
        <row r="155">
          <cell r="H155">
            <v>46173</v>
          </cell>
          <cell r="I155">
            <v>4.2799999999999998E-2</v>
          </cell>
          <cell r="J155">
            <v>4.5699999999999998E-2</v>
          </cell>
          <cell r="K155">
            <v>4.7899999999999998E-2</v>
          </cell>
          <cell r="L155">
            <v>5.0200000000000002E-2</v>
          </cell>
        </row>
        <row r="156">
          <cell r="H156">
            <v>46174</v>
          </cell>
          <cell r="I156">
            <v>4.2799999999999998E-2</v>
          </cell>
          <cell r="J156">
            <v>4.5699999999999998E-2</v>
          </cell>
          <cell r="K156">
            <v>4.7899999999999998E-2</v>
          </cell>
          <cell r="L156">
            <v>5.0200000000000002E-2</v>
          </cell>
        </row>
        <row r="157">
          <cell r="H157">
            <v>46175</v>
          </cell>
          <cell r="I157">
            <v>4.3400000000000001E-2</v>
          </cell>
          <cell r="J157">
            <v>4.6100000000000002E-2</v>
          </cell>
          <cell r="K157">
            <v>4.8300000000000003E-2</v>
          </cell>
          <cell r="L157">
            <v>5.0599999999999999E-2</v>
          </cell>
        </row>
        <row r="158">
          <cell r="H158">
            <v>46176</v>
          </cell>
          <cell r="I158">
            <v>4.3400000000000001E-2</v>
          </cell>
          <cell r="J158">
            <v>4.6100000000000002E-2</v>
          </cell>
          <cell r="K158">
            <v>4.82E-2</v>
          </cell>
          <cell r="L158">
            <v>5.0500000000000003E-2</v>
          </cell>
        </row>
        <row r="159">
          <cell r="H159">
            <v>46177</v>
          </cell>
          <cell r="I159">
            <v>4.3799999999999999E-2</v>
          </cell>
          <cell r="J159">
            <v>4.65E-2</v>
          </cell>
          <cell r="K159">
            <v>4.87E-2</v>
          </cell>
          <cell r="L159">
            <v>5.0900000000000001E-2</v>
          </cell>
        </row>
        <row r="160">
          <cell r="H160">
            <v>46178</v>
          </cell>
          <cell r="I160">
            <v>4.3499999999999997E-2</v>
          </cell>
          <cell r="J160">
            <v>4.6300000000000001E-2</v>
          </cell>
          <cell r="K160">
            <v>4.8500000000000001E-2</v>
          </cell>
          <cell r="L160">
            <v>5.0700000000000002E-2</v>
          </cell>
        </row>
        <row r="161">
          <cell r="H161">
            <v>46179</v>
          </cell>
          <cell r="I161">
            <v>4.4499999999999998E-2</v>
          </cell>
          <cell r="J161">
            <v>4.7100000000000003E-2</v>
          </cell>
          <cell r="K161">
            <v>4.9200000000000001E-2</v>
          </cell>
          <cell r="L161">
            <v>5.1400000000000001E-2</v>
          </cell>
        </row>
        <row r="162">
          <cell r="H162">
            <v>46180</v>
          </cell>
          <cell r="I162">
            <v>4.4499999999999998E-2</v>
          </cell>
          <cell r="J162">
            <v>4.7100000000000003E-2</v>
          </cell>
          <cell r="K162">
            <v>4.9200000000000001E-2</v>
          </cell>
          <cell r="L162">
            <v>5.1400000000000001E-2</v>
          </cell>
        </row>
        <row r="163">
          <cell r="H163">
            <v>46181</v>
          </cell>
          <cell r="I163">
            <v>4.4499999999999998E-2</v>
          </cell>
          <cell r="J163">
            <v>4.7100000000000003E-2</v>
          </cell>
          <cell r="K163">
            <v>4.9200000000000001E-2</v>
          </cell>
          <cell r="L163">
            <v>5.1400000000000001E-2</v>
          </cell>
        </row>
        <row r="164">
          <cell r="H164">
            <v>46182</v>
          </cell>
          <cell r="I164">
            <v>4.4600000000000001E-2</v>
          </cell>
          <cell r="J164">
            <v>4.7300000000000002E-2</v>
          </cell>
          <cell r="K164">
            <v>4.9399999999999999E-2</v>
          </cell>
          <cell r="L164">
            <v>5.16E-2</v>
          </cell>
        </row>
        <row r="165">
          <cell r="H165">
            <v>46183</v>
          </cell>
          <cell r="I165">
            <v>4.4200000000000003E-2</v>
          </cell>
          <cell r="J165">
            <v>4.7E-2</v>
          </cell>
          <cell r="K165">
            <v>4.9099999999999998E-2</v>
          </cell>
          <cell r="L165">
            <v>5.1299999999999998E-2</v>
          </cell>
        </row>
        <row r="166">
          <cell r="H166">
            <v>46184</v>
          </cell>
          <cell r="I166">
            <v>4.4400000000000002E-2</v>
          </cell>
          <cell r="J166">
            <v>4.7100000000000003E-2</v>
          </cell>
          <cell r="K166">
            <v>4.9200000000000001E-2</v>
          </cell>
          <cell r="L166">
            <v>5.1499999999999997E-2</v>
          </cell>
        </row>
        <row r="167">
          <cell r="H167">
            <v>46185</v>
          </cell>
          <cell r="I167">
            <v>4.3499999999999997E-2</v>
          </cell>
          <cell r="J167">
            <v>4.6199999999999998E-2</v>
          </cell>
          <cell r="K167">
            <v>4.8399999999999999E-2</v>
          </cell>
          <cell r="L167">
            <v>5.0599999999999999E-2</v>
          </cell>
        </row>
        <row r="168">
          <cell r="H168">
            <v>46186</v>
          </cell>
          <cell r="I168">
            <v>4.36E-2</v>
          </cell>
          <cell r="J168">
            <v>4.6399999999999997E-2</v>
          </cell>
          <cell r="K168">
            <v>4.8500000000000001E-2</v>
          </cell>
          <cell r="L168">
            <v>5.0700000000000002E-2</v>
          </cell>
        </row>
        <row r="169">
          <cell r="H169">
            <v>46187</v>
          </cell>
          <cell r="I169">
            <v>4.36E-2</v>
          </cell>
          <cell r="J169">
            <v>4.6399999999999997E-2</v>
          </cell>
          <cell r="K169">
            <v>4.8500000000000001E-2</v>
          </cell>
          <cell r="L169">
            <v>5.0700000000000002E-2</v>
          </cell>
        </row>
        <row r="170">
          <cell r="H170">
            <v>46188</v>
          </cell>
          <cell r="I170">
            <v>4.36E-2</v>
          </cell>
          <cell r="J170">
            <v>4.6399999999999997E-2</v>
          </cell>
          <cell r="K170">
            <v>4.8500000000000001E-2</v>
          </cell>
          <cell r="L170">
            <v>5.0700000000000002E-2</v>
          </cell>
        </row>
        <row r="171">
          <cell r="H171">
            <v>46189</v>
          </cell>
          <cell r="I171">
            <v>4.3400000000000001E-2</v>
          </cell>
          <cell r="J171">
            <v>4.6100000000000002E-2</v>
          </cell>
          <cell r="K171">
            <v>4.8300000000000003E-2</v>
          </cell>
          <cell r="L171">
            <v>5.0599999999999999E-2</v>
          </cell>
        </row>
        <row r="172">
          <cell r="H172">
            <v>46190</v>
          </cell>
          <cell r="I172">
            <v>4.3200000000000002E-2</v>
          </cell>
          <cell r="J172">
            <v>4.5999999999999999E-2</v>
          </cell>
          <cell r="K172">
            <v>4.8099999999999997E-2</v>
          </cell>
          <cell r="L172">
            <v>5.04E-2</v>
          </cell>
        </row>
        <row r="173">
          <cell r="H173">
            <v>46191</v>
          </cell>
          <cell r="I173">
            <v>4.4299999999999999E-2</v>
          </cell>
          <cell r="J173">
            <v>4.6800000000000001E-2</v>
          </cell>
          <cell r="K173">
            <v>4.87E-2</v>
          </cell>
          <cell r="L173">
            <v>5.0799999999999998E-2</v>
          </cell>
        </row>
        <row r="174">
          <cell r="H174">
            <v>46192</v>
          </cell>
          <cell r="I174">
            <v>4.3900000000000002E-2</v>
          </cell>
          <cell r="J174">
            <v>4.6399999999999997E-2</v>
          </cell>
          <cell r="K174">
            <v>4.8399999999999999E-2</v>
          </cell>
          <cell r="L174">
            <v>5.0500000000000003E-2</v>
          </cell>
        </row>
        <row r="175">
          <cell r="H175">
            <v>46193</v>
          </cell>
          <cell r="I175">
            <v>4.3900000000000002E-2</v>
          </cell>
          <cell r="J175">
            <v>4.6399999999999997E-2</v>
          </cell>
          <cell r="K175">
            <v>4.8399999999999999E-2</v>
          </cell>
          <cell r="L175">
            <v>5.0500000000000003E-2</v>
          </cell>
        </row>
        <row r="176">
          <cell r="H176">
            <v>46194</v>
          </cell>
          <cell r="I176">
            <v>4.3900000000000002E-2</v>
          </cell>
          <cell r="J176">
            <v>4.6399999999999997E-2</v>
          </cell>
          <cell r="K176">
            <v>4.8399999999999999E-2</v>
          </cell>
          <cell r="L176">
            <v>5.0500000000000003E-2</v>
          </cell>
        </row>
        <row r="177">
          <cell r="H177">
            <v>46195</v>
          </cell>
          <cell r="I177">
            <v>4.3900000000000002E-2</v>
          </cell>
          <cell r="J177">
            <v>4.6399999999999997E-2</v>
          </cell>
          <cell r="K177">
            <v>4.8399999999999999E-2</v>
          </cell>
          <cell r="L177">
            <v>5.0500000000000003E-2</v>
          </cell>
        </row>
        <row r="178">
          <cell r="H178">
            <v>46196</v>
          </cell>
          <cell r="I178">
            <v>4.4400000000000002E-2</v>
          </cell>
          <cell r="J178">
            <v>4.6899999999999997E-2</v>
          </cell>
          <cell r="K178">
            <v>4.8899999999999999E-2</v>
          </cell>
          <cell r="L178">
            <v>5.0999999999999997E-2</v>
          </cell>
        </row>
        <row r="179">
          <cell r="H179">
            <v>46197</v>
          </cell>
          <cell r="I179">
            <v>4.41E-2</v>
          </cell>
          <cell r="J179">
            <v>4.6699999999999998E-2</v>
          </cell>
          <cell r="K179">
            <v>4.87E-2</v>
          </cell>
          <cell r="L179">
            <v>5.0799999999999998E-2</v>
          </cell>
        </row>
        <row r="180">
          <cell r="H180">
            <v>46198</v>
          </cell>
          <cell r="I180">
            <v>4.3499999999999997E-2</v>
          </cell>
          <cell r="J180">
            <v>4.5999999999999999E-2</v>
          </cell>
          <cell r="K180">
            <v>4.8000000000000001E-2</v>
          </cell>
          <cell r="L180">
            <v>5.0200000000000002E-2</v>
          </cell>
        </row>
        <row r="181">
          <cell r="H181">
            <v>46199</v>
          </cell>
          <cell r="I181">
            <v>4.3499999999999997E-2</v>
          </cell>
          <cell r="J181">
            <v>4.5999999999999999E-2</v>
          </cell>
          <cell r="K181">
            <v>4.8000000000000001E-2</v>
          </cell>
          <cell r="L181">
            <v>5.0200000000000002E-2</v>
          </cell>
        </row>
        <row r="182">
          <cell r="H182">
            <v>46200</v>
          </cell>
          <cell r="I182">
            <v>4.3200000000000002E-2</v>
          </cell>
          <cell r="J182">
            <v>4.58E-2</v>
          </cell>
          <cell r="K182">
            <v>4.7899999999999998E-2</v>
          </cell>
          <cell r="L182">
            <v>5.0099999999999999E-2</v>
          </cell>
        </row>
        <row r="183">
          <cell r="H183">
            <v>46201</v>
          </cell>
          <cell r="I183">
            <v>4.3200000000000002E-2</v>
          </cell>
          <cell r="J183">
            <v>4.58E-2</v>
          </cell>
          <cell r="K183">
            <v>4.7899999999999998E-2</v>
          </cell>
          <cell r="L183">
            <v>5.0099999999999999E-2</v>
          </cell>
        </row>
        <row r="184">
          <cell r="H184">
            <v>46202</v>
          </cell>
          <cell r="I184">
            <v>4.3200000000000002E-2</v>
          </cell>
          <cell r="J184">
            <v>4.58E-2</v>
          </cell>
          <cell r="K184">
            <v>4.7899999999999998E-2</v>
          </cell>
          <cell r="L184">
            <v>5.0099999999999999E-2</v>
          </cell>
        </row>
        <row r="185">
          <cell r="H185">
            <v>46203</v>
          </cell>
          <cell r="I185">
            <v>4.3200000000000002E-2</v>
          </cell>
          <cell r="J185">
            <v>4.5699999999999998E-2</v>
          </cell>
          <cell r="K185">
            <v>4.7800000000000002E-2</v>
          </cell>
          <cell r="L185">
            <v>0.05</v>
          </cell>
        </row>
        <row r="186">
          <cell r="H186">
            <v>46204</v>
          </cell>
          <cell r="I186">
            <v>4.3999999999999997E-2</v>
          </cell>
          <cell r="J186">
            <v>4.6600000000000003E-2</v>
          </cell>
          <cell r="K186">
            <v>4.87E-2</v>
          </cell>
          <cell r="L186">
            <v>5.0900000000000001E-2</v>
          </cell>
        </row>
        <row r="187">
          <cell r="H187">
            <v>46205</v>
          </cell>
          <cell r="I187">
            <v>4.4400000000000002E-2</v>
          </cell>
          <cell r="J187">
            <v>4.6899999999999997E-2</v>
          </cell>
          <cell r="K187">
            <v>4.9000000000000002E-2</v>
          </cell>
          <cell r="L187">
            <v>5.1299999999999998E-2</v>
          </cell>
        </row>
        <row r="188">
          <cell r="H188">
            <v>46206</v>
          </cell>
          <cell r="I188">
            <v>4.4200000000000003E-2</v>
          </cell>
          <cell r="J188">
            <v>4.6699999999999998E-2</v>
          </cell>
          <cell r="K188">
            <v>4.8899999999999999E-2</v>
          </cell>
          <cell r="L188">
            <v>5.1200000000000002E-2</v>
          </cell>
        </row>
        <row r="189">
          <cell r="H189">
            <v>46207</v>
          </cell>
          <cell r="I189">
            <v>4.4200000000000003E-2</v>
          </cell>
          <cell r="J189">
            <v>4.6699999999999998E-2</v>
          </cell>
          <cell r="K189">
            <v>4.8899999999999999E-2</v>
          </cell>
          <cell r="L189">
            <v>5.1200000000000002E-2</v>
          </cell>
        </row>
        <row r="190">
          <cell r="H190">
            <v>46208</v>
          </cell>
          <cell r="I190">
            <v>4.4200000000000003E-2</v>
          </cell>
          <cell r="J190">
            <v>4.6699999999999998E-2</v>
          </cell>
          <cell r="K190">
            <v>4.8899999999999999E-2</v>
          </cell>
          <cell r="L190">
            <v>5.1200000000000002E-2</v>
          </cell>
        </row>
        <row r="191">
          <cell r="H191">
            <v>46209</v>
          </cell>
          <cell r="I191">
            <v>4.4200000000000003E-2</v>
          </cell>
          <cell r="J191">
            <v>4.6699999999999998E-2</v>
          </cell>
          <cell r="K191">
            <v>4.8899999999999999E-2</v>
          </cell>
          <cell r="L191">
            <v>5.1200000000000002E-2</v>
          </cell>
        </row>
        <row r="192">
          <cell r="H192">
            <v>46210</v>
          </cell>
          <cell r="I192">
            <v>4.3999999999999997E-2</v>
          </cell>
          <cell r="J192">
            <v>4.6699999999999998E-2</v>
          </cell>
          <cell r="K192">
            <v>4.8800000000000003E-2</v>
          </cell>
          <cell r="L192">
            <v>5.1200000000000002E-2</v>
          </cell>
        </row>
        <row r="193">
          <cell r="H193">
            <v>46211</v>
          </cell>
          <cell r="I193">
            <v>4.48E-2</v>
          </cell>
          <cell r="J193">
            <v>4.7500000000000001E-2</v>
          </cell>
          <cell r="K193">
            <v>4.9599999999999998E-2</v>
          </cell>
          <cell r="L193">
            <v>5.1999999999999998E-2</v>
          </cell>
        </row>
        <row r="194">
          <cell r="H194">
            <v>46212</v>
          </cell>
          <cell r="I194">
            <v>4.5100000000000001E-2</v>
          </cell>
          <cell r="J194">
            <v>4.7699999999999999E-2</v>
          </cell>
          <cell r="K194">
            <v>4.99E-2</v>
          </cell>
          <cell r="L194">
            <v>5.2200000000000003E-2</v>
          </cell>
        </row>
        <row r="195">
          <cell r="H195">
            <v>46213</v>
          </cell>
          <cell r="I195">
            <v>4.48E-2</v>
          </cell>
          <cell r="J195">
            <v>4.7500000000000001E-2</v>
          </cell>
          <cell r="K195">
            <v>4.9700000000000001E-2</v>
          </cell>
          <cell r="L195">
            <v>5.21E-2</v>
          </cell>
        </row>
        <row r="196">
          <cell r="H196">
            <v>46214</v>
          </cell>
          <cell r="I196">
            <v>4.5199999999999997E-2</v>
          </cell>
          <cell r="J196">
            <v>4.7800000000000002E-2</v>
          </cell>
          <cell r="K196">
            <v>0.05</v>
          </cell>
          <cell r="L196">
            <v>5.2299999999999999E-2</v>
          </cell>
        </row>
        <row r="197">
          <cell r="H197">
            <v>46215</v>
          </cell>
          <cell r="I197">
            <v>4.5199999999999997E-2</v>
          </cell>
          <cell r="J197">
            <v>4.7800000000000002E-2</v>
          </cell>
          <cell r="K197">
            <v>0.05</v>
          </cell>
          <cell r="L197">
            <v>5.2299999999999999E-2</v>
          </cell>
        </row>
        <row r="198">
          <cell r="H198">
            <v>46216</v>
          </cell>
          <cell r="I198">
            <v>4.5199999999999997E-2</v>
          </cell>
          <cell r="J198">
            <v>4.7800000000000002E-2</v>
          </cell>
          <cell r="K198">
            <v>0.05</v>
          </cell>
          <cell r="L198">
            <v>5.2299999999999999E-2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78" activePane="bottomLeft" state="frozen"/>
      <selection pane="bottomLeft" activeCell="E194" sqref="E194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2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2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2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2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2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2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2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2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2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2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2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2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2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2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2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2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2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2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2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2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2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2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2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2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2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2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2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2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2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2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2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2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2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2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2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2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2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2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2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2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2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2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2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2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2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2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2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2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2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2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2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2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2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2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2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2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2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2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2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2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2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2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2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2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2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2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2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2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2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2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2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2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2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2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2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25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25">
      <c r="A153" s="15">
        <f>'[1]Jumbo Bus Date to PDD'!H154</f>
        <v>46172</v>
      </c>
      <c r="B153" s="17">
        <f ca="1">'[1]Jumbo Bus Date to PDD'!I154</f>
        <v>4.2799999999999998E-2</v>
      </c>
      <c r="C153" s="47">
        <f ca="1">'[1]Jumbo Bus Date to PDD'!J154</f>
        <v>4.5699999999999998E-2</v>
      </c>
      <c r="D153" s="47">
        <f ca="1">'[1]Jumbo Bus Date to PDD'!K154</f>
        <v>4.7899999999999998E-2</v>
      </c>
      <c r="E153" s="5">
        <f ca="1">'[1]Jumbo Bus Date to PDD'!L154</f>
        <v>5.0200000000000002E-2</v>
      </c>
    </row>
    <row r="154" spans="1:5" x14ac:dyDescent="0.25">
      <c r="A154" s="15">
        <f>'[1]Jumbo Bus Date to PDD'!H155</f>
        <v>46173</v>
      </c>
      <c r="B154" s="17">
        <f ca="1">'[1]Jumbo Bus Date to PDD'!I155</f>
        <v>4.2799999999999998E-2</v>
      </c>
      <c r="C154" s="47">
        <f ca="1">'[1]Jumbo Bus Date to PDD'!J155</f>
        <v>4.5699999999999998E-2</v>
      </c>
      <c r="D154" s="47">
        <f ca="1">'[1]Jumbo Bus Date to PDD'!K155</f>
        <v>4.7899999999999998E-2</v>
      </c>
      <c r="E154" s="5">
        <f ca="1">'[1]Jumbo Bus Date to PDD'!L155</f>
        <v>5.0200000000000002E-2</v>
      </c>
    </row>
    <row r="155" spans="1:5" x14ac:dyDescent="0.25">
      <c r="A155" s="15">
        <f>'[1]Jumbo Bus Date to PDD'!H156</f>
        <v>46174</v>
      </c>
      <c r="B155" s="17">
        <f ca="1">'[1]Jumbo Bus Date to PDD'!I156</f>
        <v>4.2799999999999998E-2</v>
      </c>
      <c r="C155" s="47">
        <f ca="1">'[1]Jumbo Bus Date to PDD'!J156</f>
        <v>4.5699999999999998E-2</v>
      </c>
      <c r="D155" s="47">
        <f ca="1">'[1]Jumbo Bus Date to PDD'!K156</f>
        <v>4.7899999999999998E-2</v>
      </c>
      <c r="E155" s="5">
        <f ca="1">'[1]Jumbo Bus Date to PDD'!L156</f>
        <v>5.0200000000000002E-2</v>
      </c>
    </row>
    <row r="156" spans="1:5" x14ac:dyDescent="0.25">
      <c r="A156" s="15">
        <f>'[1]Jumbo Bus Date to PDD'!H157</f>
        <v>46175</v>
      </c>
      <c r="B156" s="17">
        <f ca="1">'[1]Jumbo Bus Date to PDD'!I157</f>
        <v>4.3400000000000001E-2</v>
      </c>
      <c r="C156" s="47">
        <f ca="1">'[1]Jumbo Bus Date to PDD'!J157</f>
        <v>4.6100000000000002E-2</v>
      </c>
      <c r="D156" s="47">
        <f ca="1">'[1]Jumbo Bus Date to PDD'!K157</f>
        <v>4.8300000000000003E-2</v>
      </c>
      <c r="E156" s="5">
        <f ca="1">'[1]Jumbo Bus Date to PDD'!L157</f>
        <v>5.0599999999999999E-2</v>
      </c>
    </row>
    <row r="157" spans="1:5" x14ac:dyDescent="0.25">
      <c r="A157" s="15">
        <f>'[1]Jumbo Bus Date to PDD'!H158</f>
        <v>46176</v>
      </c>
      <c r="B157" s="17">
        <f ca="1">'[1]Jumbo Bus Date to PDD'!I158</f>
        <v>4.3400000000000001E-2</v>
      </c>
      <c r="C157" s="47">
        <f ca="1">'[1]Jumbo Bus Date to PDD'!J158</f>
        <v>4.6100000000000002E-2</v>
      </c>
      <c r="D157" s="47">
        <f ca="1">'[1]Jumbo Bus Date to PDD'!K158</f>
        <v>4.82E-2</v>
      </c>
      <c r="E157" s="5">
        <f ca="1">'[1]Jumbo Bus Date to PDD'!L158</f>
        <v>5.0500000000000003E-2</v>
      </c>
    </row>
    <row r="158" spans="1:5" x14ac:dyDescent="0.25">
      <c r="A158" s="15">
        <f>'[1]Jumbo Bus Date to PDD'!H159</f>
        <v>46177</v>
      </c>
      <c r="B158" s="17">
        <f ca="1">'[1]Jumbo Bus Date to PDD'!I159</f>
        <v>4.3799999999999999E-2</v>
      </c>
      <c r="C158" s="47">
        <f ca="1">'[1]Jumbo Bus Date to PDD'!J159</f>
        <v>4.65E-2</v>
      </c>
      <c r="D158" s="47">
        <f ca="1">'[1]Jumbo Bus Date to PDD'!K159</f>
        <v>4.87E-2</v>
      </c>
      <c r="E158" s="5">
        <f ca="1">'[1]Jumbo Bus Date to PDD'!L159</f>
        <v>5.0900000000000001E-2</v>
      </c>
    </row>
    <row r="159" spans="1:5" x14ac:dyDescent="0.25">
      <c r="A159" s="15">
        <f>'[1]Jumbo Bus Date to PDD'!H160</f>
        <v>46178</v>
      </c>
      <c r="B159" s="17">
        <f ca="1">'[1]Jumbo Bus Date to PDD'!I160</f>
        <v>4.3499999999999997E-2</v>
      </c>
      <c r="C159" s="47">
        <f ca="1">'[1]Jumbo Bus Date to PDD'!J160</f>
        <v>4.6300000000000001E-2</v>
      </c>
      <c r="D159" s="47">
        <f ca="1">'[1]Jumbo Bus Date to PDD'!K160</f>
        <v>4.8500000000000001E-2</v>
      </c>
      <c r="E159" s="5">
        <f ca="1">'[1]Jumbo Bus Date to PDD'!L160</f>
        <v>5.0700000000000002E-2</v>
      </c>
    </row>
    <row r="160" spans="1:5" x14ac:dyDescent="0.25">
      <c r="A160" s="15">
        <f>'[1]Jumbo Bus Date to PDD'!H161</f>
        <v>46179</v>
      </c>
      <c r="B160" s="17">
        <f ca="1">'[1]Jumbo Bus Date to PDD'!I161</f>
        <v>4.4499999999999998E-2</v>
      </c>
      <c r="C160" s="47">
        <f ca="1">'[1]Jumbo Bus Date to PDD'!J161</f>
        <v>4.7100000000000003E-2</v>
      </c>
      <c r="D160" s="47">
        <f ca="1">'[1]Jumbo Bus Date to PDD'!K161</f>
        <v>4.9200000000000001E-2</v>
      </c>
      <c r="E160" s="5">
        <f ca="1">'[1]Jumbo Bus Date to PDD'!L161</f>
        <v>5.1400000000000001E-2</v>
      </c>
    </row>
    <row r="161" spans="1:5" x14ac:dyDescent="0.25">
      <c r="A161" s="15">
        <f>'[1]Jumbo Bus Date to PDD'!H162</f>
        <v>46180</v>
      </c>
      <c r="B161" s="17">
        <f ca="1">'[1]Jumbo Bus Date to PDD'!I162</f>
        <v>4.4499999999999998E-2</v>
      </c>
      <c r="C161" s="47">
        <f ca="1">'[1]Jumbo Bus Date to PDD'!J162</f>
        <v>4.7100000000000003E-2</v>
      </c>
      <c r="D161" s="47">
        <f ca="1">'[1]Jumbo Bus Date to PDD'!K162</f>
        <v>4.9200000000000001E-2</v>
      </c>
      <c r="E161" s="5">
        <f ca="1">'[1]Jumbo Bus Date to PDD'!L162</f>
        <v>5.1400000000000001E-2</v>
      </c>
    </row>
    <row r="162" spans="1:5" x14ac:dyDescent="0.25">
      <c r="A162" s="15">
        <f>'[1]Jumbo Bus Date to PDD'!H163</f>
        <v>46181</v>
      </c>
      <c r="B162" s="17">
        <f ca="1">'[1]Jumbo Bus Date to PDD'!I163</f>
        <v>4.4499999999999998E-2</v>
      </c>
      <c r="C162" s="47">
        <f ca="1">'[1]Jumbo Bus Date to PDD'!J163</f>
        <v>4.7100000000000003E-2</v>
      </c>
      <c r="D162" s="47">
        <f ca="1">'[1]Jumbo Bus Date to PDD'!K163</f>
        <v>4.9200000000000001E-2</v>
      </c>
      <c r="E162" s="5">
        <f ca="1">'[1]Jumbo Bus Date to PDD'!L163</f>
        <v>5.1400000000000001E-2</v>
      </c>
    </row>
    <row r="163" spans="1:5" x14ac:dyDescent="0.25">
      <c r="A163" s="15">
        <f>'[1]Jumbo Bus Date to PDD'!H164</f>
        <v>46182</v>
      </c>
      <c r="B163" s="17">
        <f ca="1">'[1]Jumbo Bus Date to PDD'!I164</f>
        <v>4.4600000000000001E-2</v>
      </c>
      <c r="C163" s="47">
        <f ca="1">'[1]Jumbo Bus Date to PDD'!J164</f>
        <v>4.7300000000000002E-2</v>
      </c>
      <c r="D163" s="47">
        <f ca="1">'[1]Jumbo Bus Date to PDD'!K164</f>
        <v>4.9399999999999999E-2</v>
      </c>
      <c r="E163" s="5">
        <f ca="1">'[1]Jumbo Bus Date to PDD'!L164</f>
        <v>5.16E-2</v>
      </c>
    </row>
    <row r="164" spans="1:5" x14ac:dyDescent="0.25">
      <c r="A164" s="15">
        <f>'[1]Jumbo Bus Date to PDD'!H165</f>
        <v>46183</v>
      </c>
      <c r="B164" s="17">
        <f ca="1">'[1]Jumbo Bus Date to PDD'!I165</f>
        <v>4.4200000000000003E-2</v>
      </c>
      <c r="C164" s="47">
        <f ca="1">'[1]Jumbo Bus Date to PDD'!J165</f>
        <v>4.7E-2</v>
      </c>
      <c r="D164" s="47">
        <f ca="1">'[1]Jumbo Bus Date to PDD'!K165</f>
        <v>4.9099999999999998E-2</v>
      </c>
      <c r="E164" s="5">
        <f ca="1">'[1]Jumbo Bus Date to PDD'!L165</f>
        <v>5.1299999999999998E-2</v>
      </c>
    </row>
    <row r="165" spans="1:5" x14ac:dyDescent="0.25">
      <c r="A165" s="15">
        <f>'[1]Jumbo Bus Date to PDD'!H166</f>
        <v>46184</v>
      </c>
      <c r="B165" s="17">
        <f ca="1">'[1]Jumbo Bus Date to PDD'!I166</f>
        <v>4.4400000000000002E-2</v>
      </c>
      <c r="C165" s="47">
        <f ca="1">'[1]Jumbo Bus Date to PDD'!J166</f>
        <v>4.7100000000000003E-2</v>
      </c>
      <c r="D165" s="47">
        <f ca="1">'[1]Jumbo Bus Date to PDD'!K166</f>
        <v>4.9200000000000001E-2</v>
      </c>
      <c r="E165" s="5">
        <f ca="1">'[1]Jumbo Bus Date to PDD'!L166</f>
        <v>5.1499999999999997E-2</v>
      </c>
    </row>
    <row r="166" spans="1:5" x14ac:dyDescent="0.25">
      <c r="A166" s="15">
        <f>'[1]Jumbo Bus Date to PDD'!H167</f>
        <v>46185</v>
      </c>
      <c r="B166" s="17">
        <f ca="1">'[1]Jumbo Bus Date to PDD'!I167</f>
        <v>4.3499999999999997E-2</v>
      </c>
      <c r="C166" s="47">
        <f ca="1">'[1]Jumbo Bus Date to PDD'!J167</f>
        <v>4.6199999999999998E-2</v>
      </c>
      <c r="D166" s="47">
        <f ca="1">'[1]Jumbo Bus Date to PDD'!K167</f>
        <v>4.8399999999999999E-2</v>
      </c>
      <c r="E166" s="5">
        <f ca="1">'[1]Jumbo Bus Date to PDD'!L167</f>
        <v>5.0599999999999999E-2</v>
      </c>
    </row>
    <row r="167" spans="1:5" x14ac:dyDescent="0.25">
      <c r="A167" s="15">
        <f>'[1]Jumbo Bus Date to PDD'!H168</f>
        <v>46186</v>
      </c>
      <c r="B167" s="17">
        <f ca="1">'[1]Jumbo Bus Date to PDD'!I168</f>
        <v>4.36E-2</v>
      </c>
      <c r="C167" s="47">
        <f ca="1">'[1]Jumbo Bus Date to PDD'!J168</f>
        <v>4.6399999999999997E-2</v>
      </c>
      <c r="D167" s="47">
        <f ca="1">'[1]Jumbo Bus Date to PDD'!K168</f>
        <v>4.8500000000000001E-2</v>
      </c>
      <c r="E167" s="5">
        <f ca="1">'[1]Jumbo Bus Date to PDD'!L168</f>
        <v>5.0700000000000002E-2</v>
      </c>
    </row>
    <row r="168" spans="1:5" x14ac:dyDescent="0.25">
      <c r="A168" s="15">
        <f>'[1]Jumbo Bus Date to PDD'!H169</f>
        <v>46187</v>
      </c>
      <c r="B168" s="17">
        <f ca="1">'[1]Jumbo Bus Date to PDD'!I169</f>
        <v>4.36E-2</v>
      </c>
      <c r="C168" s="47">
        <f ca="1">'[1]Jumbo Bus Date to PDD'!J169</f>
        <v>4.6399999999999997E-2</v>
      </c>
      <c r="D168" s="47">
        <f ca="1">'[1]Jumbo Bus Date to PDD'!K169</f>
        <v>4.8500000000000001E-2</v>
      </c>
      <c r="E168" s="5">
        <f ca="1">'[1]Jumbo Bus Date to PDD'!L169</f>
        <v>5.0700000000000002E-2</v>
      </c>
    </row>
    <row r="169" spans="1:5" x14ac:dyDescent="0.25">
      <c r="A169" s="15">
        <f>'[1]Jumbo Bus Date to PDD'!H170</f>
        <v>46188</v>
      </c>
      <c r="B169" s="17">
        <f ca="1">'[1]Jumbo Bus Date to PDD'!I170</f>
        <v>4.36E-2</v>
      </c>
      <c r="C169" s="47">
        <f ca="1">'[1]Jumbo Bus Date to PDD'!J170</f>
        <v>4.6399999999999997E-2</v>
      </c>
      <c r="D169" s="47">
        <f ca="1">'[1]Jumbo Bus Date to PDD'!K170</f>
        <v>4.8500000000000001E-2</v>
      </c>
      <c r="E169" s="5">
        <f ca="1">'[1]Jumbo Bus Date to PDD'!L170</f>
        <v>5.0700000000000002E-2</v>
      </c>
    </row>
    <row r="170" spans="1:5" x14ac:dyDescent="0.25">
      <c r="A170" s="15">
        <f>'[1]Jumbo Bus Date to PDD'!H171</f>
        <v>46189</v>
      </c>
      <c r="B170" s="17">
        <f ca="1">'[1]Jumbo Bus Date to PDD'!I171</f>
        <v>4.3400000000000001E-2</v>
      </c>
      <c r="C170" s="47">
        <f ca="1">'[1]Jumbo Bus Date to PDD'!J171</f>
        <v>4.6100000000000002E-2</v>
      </c>
      <c r="D170" s="47">
        <f ca="1">'[1]Jumbo Bus Date to PDD'!K171</f>
        <v>4.8300000000000003E-2</v>
      </c>
      <c r="E170" s="5">
        <f ca="1">'[1]Jumbo Bus Date to PDD'!L171</f>
        <v>5.0599999999999999E-2</v>
      </c>
    </row>
    <row r="171" spans="1:5" x14ac:dyDescent="0.25">
      <c r="A171" s="15">
        <f>'[1]Jumbo Bus Date to PDD'!H172</f>
        <v>46190</v>
      </c>
      <c r="B171" s="17">
        <f ca="1">'[1]Jumbo Bus Date to PDD'!I172</f>
        <v>4.3200000000000002E-2</v>
      </c>
      <c r="C171" s="47">
        <f ca="1">'[1]Jumbo Bus Date to PDD'!J172</f>
        <v>4.5999999999999999E-2</v>
      </c>
      <c r="D171" s="47">
        <f ca="1">'[1]Jumbo Bus Date to PDD'!K172</f>
        <v>4.8099999999999997E-2</v>
      </c>
      <c r="E171" s="5">
        <f ca="1">'[1]Jumbo Bus Date to PDD'!L172</f>
        <v>5.04E-2</v>
      </c>
    </row>
    <row r="172" spans="1:5" x14ac:dyDescent="0.25">
      <c r="A172" s="15">
        <f>'[1]Jumbo Bus Date to PDD'!H173</f>
        <v>46191</v>
      </c>
      <c r="B172" s="17">
        <f ca="1">'[1]Jumbo Bus Date to PDD'!I173</f>
        <v>4.4299999999999999E-2</v>
      </c>
      <c r="C172" s="47">
        <f ca="1">'[1]Jumbo Bus Date to PDD'!J173</f>
        <v>4.6800000000000001E-2</v>
      </c>
      <c r="D172" s="47">
        <f ca="1">'[1]Jumbo Bus Date to PDD'!K173</f>
        <v>4.87E-2</v>
      </c>
      <c r="E172" s="5">
        <f ca="1">'[1]Jumbo Bus Date to PDD'!L173</f>
        <v>5.0799999999999998E-2</v>
      </c>
    </row>
    <row r="173" spans="1:5" x14ac:dyDescent="0.25">
      <c r="A173" s="15">
        <f>'[1]Jumbo Bus Date to PDD'!H174</f>
        <v>46192</v>
      </c>
      <c r="B173" s="17">
        <f ca="1">'[1]Jumbo Bus Date to PDD'!I174</f>
        <v>4.3900000000000002E-2</v>
      </c>
      <c r="C173" s="47">
        <f ca="1">'[1]Jumbo Bus Date to PDD'!J174</f>
        <v>4.6399999999999997E-2</v>
      </c>
      <c r="D173" s="47">
        <f ca="1">'[1]Jumbo Bus Date to PDD'!K174</f>
        <v>4.8399999999999999E-2</v>
      </c>
      <c r="E173" s="5">
        <f ca="1">'[1]Jumbo Bus Date to PDD'!L174</f>
        <v>5.0500000000000003E-2</v>
      </c>
    </row>
    <row r="174" spans="1:5" x14ac:dyDescent="0.25">
      <c r="A174" s="15">
        <f>'[1]Jumbo Bus Date to PDD'!H175</f>
        <v>46193</v>
      </c>
      <c r="B174" s="17">
        <f ca="1">'[1]Jumbo Bus Date to PDD'!I175</f>
        <v>4.3900000000000002E-2</v>
      </c>
      <c r="C174" s="47">
        <f ca="1">'[1]Jumbo Bus Date to PDD'!J175</f>
        <v>4.6399999999999997E-2</v>
      </c>
      <c r="D174" s="47">
        <f ca="1">'[1]Jumbo Bus Date to PDD'!K175</f>
        <v>4.8399999999999999E-2</v>
      </c>
      <c r="E174" s="5">
        <f ca="1">'[1]Jumbo Bus Date to PDD'!L175</f>
        <v>5.0500000000000003E-2</v>
      </c>
    </row>
    <row r="175" spans="1:5" x14ac:dyDescent="0.25">
      <c r="A175" s="15">
        <f>'[1]Jumbo Bus Date to PDD'!H176</f>
        <v>46194</v>
      </c>
      <c r="B175" s="17">
        <f ca="1">'[1]Jumbo Bus Date to PDD'!I176</f>
        <v>4.3900000000000002E-2</v>
      </c>
      <c r="C175" s="47">
        <f ca="1">'[1]Jumbo Bus Date to PDD'!J176</f>
        <v>4.6399999999999997E-2</v>
      </c>
      <c r="D175" s="47">
        <f ca="1">'[1]Jumbo Bus Date to PDD'!K176</f>
        <v>4.8399999999999999E-2</v>
      </c>
      <c r="E175" s="5">
        <f ca="1">'[1]Jumbo Bus Date to PDD'!L176</f>
        <v>5.0500000000000003E-2</v>
      </c>
    </row>
    <row r="176" spans="1:5" x14ac:dyDescent="0.25">
      <c r="A176" s="15">
        <f>'[1]Jumbo Bus Date to PDD'!H177</f>
        <v>46195</v>
      </c>
      <c r="B176" s="17">
        <f ca="1">'[1]Jumbo Bus Date to PDD'!I177</f>
        <v>4.3900000000000002E-2</v>
      </c>
      <c r="C176" s="47">
        <f ca="1">'[1]Jumbo Bus Date to PDD'!J177</f>
        <v>4.6399999999999997E-2</v>
      </c>
      <c r="D176" s="47">
        <f ca="1">'[1]Jumbo Bus Date to PDD'!K177</f>
        <v>4.8399999999999999E-2</v>
      </c>
      <c r="E176" s="5">
        <f ca="1">'[1]Jumbo Bus Date to PDD'!L177</f>
        <v>5.0500000000000003E-2</v>
      </c>
    </row>
    <row r="177" spans="1:5" x14ac:dyDescent="0.25">
      <c r="A177" s="15">
        <f>'[1]Jumbo Bus Date to PDD'!H178</f>
        <v>46196</v>
      </c>
      <c r="B177" s="17">
        <f ca="1">'[1]Jumbo Bus Date to PDD'!I178</f>
        <v>4.4400000000000002E-2</v>
      </c>
      <c r="C177" s="47">
        <f ca="1">'[1]Jumbo Bus Date to PDD'!J178</f>
        <v>4.6899999999999997E-2</v>
      </c>
      <c r="D177" s="47">
        <f ca="1">'[1]Jumbo Bus Date to PDD'!K178</f>
        <v>4.8899999999999999E-2</v>
      </c>
      <c r="E177" s="5">
        <f ca="1">'[1]Jumbo Bus Date to PDD'!L178</f>
        <v>5.0999999999999997E-2</v>
      </c>
    </row>
    <row r="178" spans="1:5" x14ac:dyDescent="0.25">
      <c r="A178" s="15">
        <f>'[1]Jumbo Bus Date to PDD'!H179</f>
        <v>46197</v>
      </c>
      <c r="B178" s="17">
        <f ca="1">'[1]Jumbo Bus Date to PDD'!I179</f>
        <v>4.41E-2</v>
      </c>
      <c r="C178" s="47">
        <f ca="1">'[1]Jumbo Bus Date to PDD'!J179</f>
        <v>4.6699999999999998E-2</v>
      </c>
      <c r="D178" s="47">
        <f ca="1">'[1]Jumbo Bus Date to PDD'!K179</f>
        <v>4.87E-2</v>
      </c>
      <c r="E178" s="5">
        <f ca="1">'[1]Jumbo Bus Date to PDD'!L179</f>
        <v>5.0799999999999998E-2</v>
      </c>
    </row>
    <row r="179" spans="1:5" x14ac:dyDescent="0.25">
      <c r="A179" s="15">
        <f>'[1]Jumbo Bus Date to PDD'!H180</f>
        <v>46198</v>
      </c>
      <c r="B179" s="17">
        <f ca="1">'[1]Jumbo Bus Date to PDD'!I180</f>
        <v>4.3499999999999997E-2</v>
      </c>
      <c r="C179" s="47">
        <f ca="1">'[1]Jumbo Bus Date to PDD'!J180</f>
        <v>4.5999999999999999E-2</v>
      </c>
      <c r="D179" s="47">
        <f ca="1">'[1]Jumbo Bus Date to PDD'!K180</f>
        <v>4.8000000000000001E-2</v>
      </c>
      <c r="E179" s="5">
        <f ca="1">'[1]Jumbo Bus Date to PDD'!L180</f>
        <v>5.0200000000000002E-2</v>
      </c>
    </row>
    <row r="180" spans="1:5" x14ac:dyDescent="0.25">
      <c r="A180" s="15">
        <f>'[1]Jumbo Bus Date to PDD'!H181</f>
        <v>46199</v>
      </c>
      <c r="B180" s="17">
        <f ca="1">'[1]Jumbo Bus Date to PDD'!I181</f>
        <v>4.3499999999999997E-2</v>
      </c>
      <c r="C180" s="47">
        <f ca="1">'[1]Jumbo Bus Date to PDD'!J181</f>
        <v>4.5999999999999999E-2</v>
      </c>
      <c r="D180" s="47">
        <f ca="1">'[1]Jumbo Bus Date to PDD'!K181</f>
        <v>4.8000000000000001E-2</v>
      </c>
      <c r="E180" s="5">
        <f ca="1">'[1]Jumbo Bus Date to PDD'!L181</f>
        <v>5.0200000000000002E-2</v>
      </c>
    </row>
    <row r="181" spans="1:5" x14ac:dyDescent="0.25">
      <c r="A181" s="15">
        <f>'[1]Jumbo Bus Date to PDD'!H182</f>
        <v>46200</v>
      </c>
      <c r="B181" s="17">
        <f ca="1">'[1]Jumbo Bus Date to PDD'!I182</f>
        <v>4.3200000000000002E-2</v>
      </c>
      <c r="C181" s="47">
        <f ca="1">'[1]Jumbo Bus Date to PDD'!J182</f>
        <v>4.58E-2</v>
      </c>
      <c r="D181" s="47">
        <f ca="1">'[1]Jumbo Bus Date to PDD'!K182</f>
        <v>4.7899999999999998E-2</v>
      </c>
      <c r="E181" s="5">
        <f ca="1">'[1]Jumbo Bus Date to PDD'!L182</f>
        <v>5.0099999999999999E-2</v>
      </c>
    </row>
    <row r="182" spans="1:5" x14ac:dyDescent="0.25">
      <c r="A182" s="15">
        <f>'[1]Jumbo Bus Date to PDD'!H183</f>
        <v>46201</v>
      </c>
      <c r="B182" s="17">
        <f ca="1">'[1]Jumbo Bus Date to PDD'!I183</f>
        <v>4.3200000000000002E-2</v>
      </c>
      <c r="C182" s="47">
        <f ca="1">'[1]Jumbo Bus Date to PDD'!J183</f>
        <v>4.58E-2</v>
      </c>
      <c r="D182" s="47">
        <f ca="1">'[1]Jumbo Bus Date to PDD'!K183</f>
        <v>4.7899999999999998E-2</v>
      </c>
      <c r="E182" s="5">
        <f ca="1">'[1]Jumbo Bus Date to PDD'!L183</f>
        <v>5.0099999999999999E-2</v>
      </c>
    </row>
    <row r="183" spans="1:5" x14ac:dyDescent="0.25">
      <c r="A183" s="15">
        <f>'[1]Jumbo Bus Date to PDD'!H184</f>
        <v>46202</v>
      </c>
      <c r="B183" s="17">
        <f ca="1">'[1]Jumbo Bus Date to PDD'!I184</f>
        <v>4.3200000000000002E-2</v>
      </c>
      <c r="C183" s="47">
        <f ca="1">'[1]Jumbo Bus Date to PDD'!J184</f>
        <v>4.58E-2</v>
      </c>
      <c r="D183" s="47">
        <f ca="1">'[1]Jumbo Bus Date to PDD'!K184</f>
        <v>4.7899999999999998E-2</v>
      </c>
      <c r="E183" s="5">
        <f ca="1">'[1]Jumbo Bus Date to PDD'!L184</f>
        <v>5.0099999999999999E-2</v>
      </c>
    </row>
    <row r="184" spans="1:5" x14ac:dyDescent="0.25">
      <c r="A184" s="15">
        <f>'[1]Jumbo Bus Date to PDD'!H185</f>
        <v>46203</v>
      </c>
      <c r="B184" s="17">
        <f ca="1">'[1]Jumbo Bus Date to PDD'!I185</f>
        <v>4.3200000000000002E-2</v>
      </c>
      <c r="C184" s="47">
        <f ca="1">'[1]Jumbo Bus Date to PDD'!J185</f>
        <v>4.5699999999999998E-2</v>
      </c>
      <c r="D184" s="47">
        <f ca="1">'[1]Jumbo Bus Date to PDD'!K185</f>
        <v>4.7800000000000002E-2</v>
      </c>
      <c r="E184" s="5">
        <f ca="1">'[1]Jumbo Bus Date to PDD'!L185</f>
        <v>0.05</v>
      </c>
    </row>
    <row r="185" spans="1:5" x14ac:dyDescent="0.25">
      <c r="A185" s="15">
        <f>'[1]Jumbo Bus Date to PDD'!H186</f>
        <v>46204</v>
      </c>
      <c r="B185" s="17">
        <f ca="1">'[1]Jumbo Bus Date to PDD'!I186</f>
        <v>4.3999999999999997E-2</v>
      </c>
      <c r="C185" s="47">
        <f ca="1">'[1]Jumbo Bus Date to PDD'!J186</f>
        <v>4.6600000000000003E-2</v>
      </c>
      <c r="D185" s="47">
        <f ca="1">'[1]Jumbo Bus Date to PDD'!K186</f>
        <v>4.87E-2</v>
      </c>
      <c r="E185" s="5">
        <f ca="1">'[1]Jumbo Bus Date to PDD'!L186</f>
        <v>5.0900000000000001E-2</v>
      </c>
    </row>
    <row r="186" spans="1:5" x14ac:dyDescent="0.25">
      <c r="A186" s="15">
        <f>'[1]Jumbo Bus Date to PDD'!H187</f>
        <v>46205</v>
      </c>
      <c r="B186" s="17">
        <f ca="1">'[1]Jumbo Bus Date to PDD'!I187</f>
        <v>4.4400000000000002E-2</v>
      </c>
      <c r="C186" s="47">
        <f ca="1">'[1]Jumbo Bus Date to PDD'!J187</f>
        <v>4.6899999999999997E-2</v>
      </c>
      <c r="D186" s="47">
        <f ca="1">'[1]Jumbo Bus Date to PDD'!K187</f>
        <v>4.9000000000000002E-2</v>
      </c>
      <c r="E186" s="5">
        <f ca="1">'[1]Jumbo Bus Date to PDD'!L187</f>
        <v>5.1299999999999998E-2</v>
      </c>
    </row>
    <row r="187" spans="1:5" x14ac:dyDescent="0.25">
      <c r="A187" s="15">
        <f>'[1]Jumbo Bus Date to PDD'!H188</f>
        <v>46206</v>
      </c>
      <c r="B187" s="17">
        <f ca="1">'[1]Jumbo Bus Date to PDD'!I188</f>
        <v>4.4200000000000003E-2</v>
      </c>
      <c r="C187" s="47">
        <f ca="1">'[1]Jumbo Bus Date to PDD'!J188</f>
        <v>4.6699999999999998E-2</v>
      </c>
      <c r="D187" s="47">
        <f ca="1">'[1]Jumbo Bus Date to PDD'!K188</f>
        <v>4.8899999999999999E-2</v>
      </c>
      <c r="E187" s="5">
        <f ca="1">'[1]Jumbo Bus Date to PDD'!L188</f>
        <v>5.1200000000000002E-2</v>
      </c>
    </row>
    <row r="188" spans="1:5" x14ac:dyDescent="0.25">
      <c r="A188" s="15">
        <f>'[1]Jumbo Bus Date to PDD'!H189</f>
        <v>46207</v>
      </c>
      <c r="B188" s="17">
        <f ca="1">'[1]Jumbo Bus Date to PDD'!I189</f>
        <v>4.4200000000000003E-2</v>
      </c>
      <c r="C188" s="47">
        <f ca="1">'[1]Jumbo Bus Date to PDD'!J189</f>
        <v>4.6699999999999998E-2</v>
      </c>
      <c r="D188" s="47">
        <f ca="1">'[1]Jumbo Bus Date to PDD'!K189</f>
        <v>4.8899999999999999E-2</v>
      </c>
      <c r="E188" s="5">
        <f ca="1">'[1]Jumbo Bus Date to PDD'!L189</f>
        <v>5.1200000000000002E-2</v>
      </c>
    </row>
    <row r="189" spans="1:5" x14ac:dyDescent="0.25">
      <c r="A189" s="15">
        <f>'[1]Jumbo Bus Date to PDD'!H190</f>
        <v>46208</v>
      </c>
      <c r="B189" s="17">
        <f ca="1">'[1]Jumbo Bus Date to PDD'!I190</f>
        <v>4.4200000000000003E-2</v>
      </c>
      <c r="C189" s="47">
        <f ca="1">'[1]Jumbo Bus Date to PDD'!J190</f>
        <v>4.6699999999999998E-2</v>
      </c>
      <c r="D189" s="47">
        <f ca="1">'[1]Jumbo Bus Date to PDD'!K190</f>
        <v>4.8899999999999999E-2</v>
      </c>
      <c r="E189" s="5">
        <f ca="1">'[1]Jumbo Bus Date to PDD'!L190</f>
        <v>5.1200000000000002E-2</v>
      </c>
    </row>
    <row r="190" spans="1:5" x14ac:dyDescent="0.25">
      <c r="A190" s="15">
        <f>'[1]Jumbo Bus Date to PDD'!H191</f>
        <v>46209</v>
      </c>
      <c r="B190" s="17">
        <f ca="1">'[1]Jumbo Bus Date to PDD'!I191</f>
        <v>4.4200000000000003E-2</v>
      </c>
      <c r="C190" s="47">
        <f ca="1">'[1]Jumbo Bus Date to PDD'!J191</f>
        <v>4.6699999999999998E-2</v>
      </c>
      <c r="D190" s="47">
        <f ca="1">'[1]Jumbo Bus Date to PDD'!K191</f>
        <v>4.8899999999999999E-2</v>
      </c>
      <c r="E190" s="5">
        <f ca="1">'[1]Jumbo Bus Date to PDD'!L191</f>
        <v>5.1200000000000002E-2</v>
      </c>
    </row>
    <row r="191" spans="1:5" x14ac:dyDescent="0.25">
      <c r="A191" s="15">
        <f>'[1]Jumbo Bus Date to PDD'!H192</f>
        <v>46210</v>
      </c>
      <c r="B191" s="17">
        <f ca="1">'[1]Jumbo Bus Date to PDD'!I192</f>
        <v>4.3999999999999997E-2</v>
      </c>
      <c r="C191" s="47">
        <f ca="1">'[1]Jumbo Bus Date to PDD'!J192</f>
        <v>4.6699999999999998E-2</v>
      </c>
      <c r="D191" s="47">
        <f ca="1">'[1]Jumbo Bus Date to PDD'!K192</f>
        <v>4.8800000000000003E-2</v>
      </c>
      <c r="E191" s="5">
        <f ca="1">'[1]Jumbo Bus Date to PDD'!L192</f>
        <v>5.1200000000000002E-2</v>
      </c>
    </row>
    <row r="192" spans="1:5" x14ac:dyDescent="0.25">
      <c r="A192" s="15">
        <f>'[1]Jumbo Bus Date to PDD'!H193</f>
        <v>46211</v>
      </c>
      <c r="B192" s="17">
        <f ca="1">'[1]Jumbo Bus Date to PDD'!I193</f>
        <v>4.48E-2</v>
      </c>
      <c r="C192" s="47">
        <f ca="1">'[1]Jumbo Bus Date to PDD'!J193</f>
        <v>4.7500000000000001E-2</v>
      </c>
      <c r="D192" s="47">
        <f ca="1">'[1]Jumbo Bus Date to PDD'!K193</f>
        <v>4.9599999999999998E-2</v>
      </c>
      <c r="E192" s="5">
        <f ca="1">'[1]Jumbo Bus Date to PDD'!L193</f>
        <v>5.1999999999999998E-2</v>
      </c>
    </row>
    <row r="193" spans="1:5" x14ac:dyDescent="0.25">
      <c r="A193" s="15">
        <f>'[1]Jumbo Bus Date to PDD'!H194</f>
        <v>46212</v>
      </c>
      <c r="B193" s="17">
        <f ca="1">'[1]Jumbo Bus Date to PDD'!I194</f>
        <v>4.5100000000000001E-2</v>
      </c>
      <c r="C193" s="47">
        <f ca="1">'[1]Jumbo Bus Date to PDD'!J194</f>
        <v>4.7699999999999999E-2</v>
      </c>
      <c r="D193" s="47">
        <f ca="1">'[1]Jumbo Bus Date to PDD'!K194</f>
        <v>4.99E-2</v>
      </c>
      <c r="E193" s="5">
        <f ca="1">'[1]Jumbo Bus Date to PDD'!L194</f>
        <v>5.2200000000000003E-2</v>
      </c>
    </row>
    <row r="194" spans="1:5" x14ac:dyDescent="0.25">
      <c r="A194" s="15">
        <f>'[1]Jumbo Bus Date to PDD'!H195</f>
        <v>46213</v>
      </c>
      <c r="B194" s="17">
        <f ca="1">'[1]Jumbo Bus Date to PDD'!I195</f>
        <v>4.48E-2</v>
      </c>
      <c r="C194" s="47">
        <f ca="1">'[1]Jumbo Bus Date to PDD'!J195</f>
        <v>4.7500000000000001E-2</v>
      </c>
      <c r="D194" s="47">
        <f ca="1">'[1]Jumbo Bus Date to PDD'!K195</f>
        <v>4.9700000000000001E-2</v>
      </c>
      <c r="E194" s="5">
        <f ca="1">'[1]Jumbo Bus Date to PDD'!L195</f>
        <v>5.21E-2</v>
      </c>
    </row>
    <row r="195" spans="1:5" x14ac:dyDescent="0.25">
      <c r="A195" s="15">
        <f>'[1]Jumbo Bus Date to PDD'!H196</f>
        <v>46214</v>
      </c>
      <c r="B195" s="17">
        <f ca="1">'[1]Jumbo Bus Date to PDD'!I196</f>
        <v>4.5199999999999997E-2</v>
      </c>
      <c r="C195" s="47">
        <f ca="1">'[1]Jumbo Bus Date to PDD'!J196</f>
        <v>4.7800000000000002E-2</v>
      </c>
      <c r="D195" s="47">
        <f ca="1">'[1]Jumbo Bus Date to PDD'!K196</f>
        <v>0.05</v>
      </c>
      <c r="E195" s="5">
        <f ca="1">'[1]Jumbo Bus Date to PDD'!L196</f>
        <v>5.2299999999999999E-2</v>
      </c>
    </row>
    <row r="196" spans="1:5" x14ac:dyDescent="0.25">
      <c r="A196" s="15">
        <f>'[1]Jumbo Bus Date to PDD'!H197</f>
        <v>46215</v>
      </c>
      <c r="B196" s="17">
        <f ca="1">'[1]Jumbo Bus Date to PDD'!I197</f>
        <v>4.5199999999999997E-2</v>
      </c>
      <c r="C196" s="47">
        <f ca="1">'[1]Jumbo Bus Date to PDD'!J197</f>
        <v>4.7800000000000002E-2</v>
      </c>
      <c r="D196" s="47">
        <f ca="1">'[1]Jumbo Bus Date to PDD'!K197</f>
        <v>0.05</v>
      </c>
      <c r="E196" s="5">
        <f ca="1">'[1]Jumbo Bus Date to PDD'!L197</f>
        <v>5.2299999999999999E-2</v>
      </c>
    </row>
    <row r="197" spans="1:5" x14ac:dyDescent="0.25">
      <c r="A197" s="15">
        <f>'[1]Jumbo Bus Date to PDD'!H198</f>
        <v>46216</v>
      </c>
      <c r="B197" s="17">
        <f ca="1">'[1]Jumbo Bus Date to PDD'!I198</f>
        <v>4.5199999999999997E-2</v>
      </c>
      <c r="C197" s="47">
        <f ca="1">'[1]Jumbo Bus Date to PDD'!J198</f>
        <v>4.7800000000000002E-2</v>
      </c>
      <c r="D197" s="47">
        <f ca="1">'[1]Jumbo Bus Date to PDD'!K198</f>
        <v>0.05</v>
      </c>
      <c r="E197" s="5">
        <f ca="1">'[1]Jumbo Bus Date to PDD'!L198</f>
        <v>5.2299999999999999E-2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>
        <f ca="1">IF(ISNA('[1]Non-Jumbo Rates'!$D$24),"",'[1]Non-Jumbo Rates'!$D$24)</f>
        <v>4.2500000000000003E-2</v>
      </c>
      <c r="C8" s="9">
        <f ca="1">IF(ISNA('[1]Non-Jumbo Rates'!$D$25),"",'[1]Non-Jumbo Rates'!$D$25)</f>
        <v>4.4999999999999998E-2</v>
      </c>
      <c r="D8" s="10">
        <f ca="1">IF(ISNA('[1]Non-Jumbo Rates'!$D$26),"",'[1]Non-Jumbo Rates'!$D$26)</f>
        <v>4.7500000000000001E-2</v>
      </c>
      <c r="E8" s="9">
        <f ca="1">IF(ISNA('[1]Non-Jumbo Rates'!$D$27),"",'[1]Non-Jumbo Rates'!$D$27)</f>
        <v>0.05</v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2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2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>
        <f>IF('[1]Spreads VM-V Table X'!AL6=0,"",'[1]Spreads VM-V Table X'!AL6)</f>
        <v>10.81</v>
      </c>
      <c r="AA6" s="44">
        <f>IF('[1]Spreads VM-V Table X'!AM6=0,"",'[1]Spreads VM-V Table X'!AM6)</f>
        <v>17.87</v>
      </c>
      <c r="AB6" s="44">
        <f>IF('[1]Spreads VM-V Table X'!AN6=0,"",'[1]Spreads VM-V Table X'!AN6)</f>
        <v>24.93</v>
      </c>
      <c r="AC6" s="44">
        <f>IF('[1]Spreads VM-V Table X'!AO6=0,"",'[1]Spreads VM-V Table X'!AO6)</f>
        <v>30.59</v>
      </c>
      <c r="AD6" s="44">
        <f>IF('[1]Spreads VM-V Table X'!AP6=0,"",'[1]Spreads VM-V Table X'!AP6)</f>
        <v>36.25</v>
      </c>
      <c r="AE6" s="44">
        <f>IF('[1]Spreads VM-V Table X'!AQ6=0,"",'[1]Spreads VM-V Table X'!AQ6)</f>
        <v>41.91</v>
      </c>
      <c r="AF6" s="44">
        <f>IF('[1]Spreads VM-V Table X'!AR6=0,"",'[1]Spreads VM-V Table X'!AR6)</f>
        <v>49.66</v>
      </c>
      <c r="AG6" s="44">
        <f>IF('[1]Spreads VM-V Table X'!AS6=0,"",'[1]Spreads VM-V Table X'!AS6)</f>
        <v>57.41</v>
      </c>
      <c r="AH6" s="44">
        <f>IF('[1]Spreads VM-V Table X'!AT6=0,"",'[1]Spreads VM-V Table X'!AT6)</f>
        <v>65.16</v>
      </c>
      <c r="AI6" s="44">
        <f>IF('[1]Spreads VM-V Table X'!AU6=0,"",'[1]Spreads VM-V Table X'!AU6)</f>
        <v>99.34</v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>
        <f>IF('[1]Spreads VM-V Table X'!AL7=0,"",'[1]Spreads VM-V Table X'!AL7)</f>
        <v>11.41</v>
      </c>
      <c r="AA7" s="44">
        <f>IF('[1]Spreads VM-V Table X'!AM7=0,"",'[1]Spreads VM-V Table X'!AM7)</f>
        <v>20.11</v>
      </c>
      <c r="AB7" s="44">
        <f>IF('[1]Spreads VM-V Table X'!AN7=0,"",'[1]Spreads VM-V Table X'!AN7)</f>
        <v>28.82</v>
      </c>
      <c r="AC7" s="44">
        <f>IF('[1]Spreads VM-V Table X'!AO7=0,"",'[1]Spreads VM-V Table X'!AO7)</f>
        <v>35</v>
      </c>
      <c r="AD7" s="44">
        <f>IF('[1]Spreads VM-V Table X'!AP7=0,"",'[1]Spreads VM-V Table X'!AP7)</f>
        <v>41.19</v>
      </c>
      <c r="AE7" s="44">
        <f>IF('[1]Spreads VM-V Table X'!AQ7=0,"",'[1]Spreads VM-V Table X'!AQ7)</f>
        <v>47.38</v>
      </c>
      <c r="AF7" s="44">
        <f>IF('[1]Spreads VM-V Table X'!AR7=0,"",'[1]Spreads VM-V Table X'!AR7)</f>
        <v>55.8</v>
      </c>
      <c r="AG7" s="44">
        <f>IF('[1]Spreads VM-V Table X'!AS7=0,"",'[1]Spreads VM-V Table X'!AS7)</f>
        <v>64.23</v>
      </c>
      <c r="AH7" s="44">
        <f>IF('[1]Spreads VM-V Table X'!AT7=0,"",'[1]Spreads VM-V Table X'!AT7)</f>
        <v>72.650000000000006</v>
      </c>
      <c r="AI7" s="44">
        <f>IF('[1]Spreads VM-V Table X'!AU7=0,"",'[1]Spreads VM-V Table X'!AU7)</f>
        <v>103.09</v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>
        <f>IF('[1]Spreads VM-V Table X'!AL8=0,"",'[1]Spreads VM-V Table X'!AL8)</f>
        <v>12</v>
      </c>
      <c r="AA8" s="44">
        <f>IF('[1]Spreads VM-V Table X'!AM8=0,"",'[1]Spreads VM-V Table X'!AM8)</f>
        <v>22.35</v>
      </c>
      <c r="AB8" s="44">
        <f>IF('[1]Spreads VM-V Table X'!AN8=0,"",'[1]Spreads VM-V Table X'!AN8)</f>
        <v>32.71</v>
      </c>
      <c r="AC8" s="44">
        <f>IF('[1]Spreads VM-V Table X'!AO8=0,"",'[1]Spreads VM-V Table X'!AO8)</f>
        <v>39.42</v>
      </c>
      <c r="AD8" s="44">
        <f>IF('[1]Spreads VM-V Table X'!AP8=0,"",'[1]Spreads VM-V Table X'!AP8)</f>
        <v>46.13</v>
      </c>
      <c r="AE8" s="44">
        <f>IF('[1]Spreads VM-V Table X'!AQ8=0,"",'[1]Spreads VM-V Table X'!AQ8)</f>
        <v>52.84</v>
      </c>
      <c r="AF8" s="44">
        <f>IF('[1]Spreads VM-V Table X'!AR8=0,"",'[1]Spreads VM-V Table X'!AR8)</f>
        <v>61.94</v>
      </c>
      <c r="AG8" s="44">
        <f>IF('[1]Spreads VM-V Table X'!AS8=0,"",'[1]Spreads VM-V Table X'!AS8)</f>
        <v>71.040000000000006</v>
      </c>
      <c r="AH8" s="44">
        <f>IF('[1]Spreads VM-V Table X'!AT8=0,"",'[1]Spreads VM-V Table X'!AT8)</f>
        <v>80.14</v>
      </c>
      <c r="AI8" s="44">
        <f>IF('[1]Spreads VM-V Table X'!AU8=0,"",'[1]Spreads VM-V Table X'!AU8)</f>
        <v>106.83</v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>
        <f>IF('[1]Spreads VM-V Table X'!AL9=0,"",'[1]Spreads VM-V Table X'!AL9)</f>
        <v>12.6</v>
      </c>
      <c r="AA9" s="44">
        <f>IF('[1]Spreads VM-V Table X'!AM9=0,"",'[1]Spreads VM-V Table X'!AM9)</f>
        <v>24.59</v>
      </c>
      <c r="AB9" s="44">
        <f>IF('[1]Spreads VM-V Table X'!AN9=0,"",'[1]Spreads VM-V Table X'!AN9)</f>
        <v>36.590000000000003</v>
      </c>
      <c r="AC9" s="44">
        <f>IF('[1]Spreads VM-V Table X'!AO9=0,"",'[1]Spreads VM-V Table X'!AO9)</f>
        <v>43.83</v>
      </c>
      <c r="AD9" s="44">
        <f>IF('[1]Spreads VM-V Table X'!AP9=0,"",'[1]Spreads VM-V Table X'!AP9)</f>
        <v>51.06</v>
      </c>
      <c r="AE9" s="44">
        <f>IF('[1]Spreads VM-V Table X'!AQ9=0,"",'[1]Spreads VM-V Table X'!AQ9)</f>
        <v>58.3</v>
      </c>
      <c r="AF9" s="44">
        <f>IF('[1]Spreads VM-V Table X'!AR9=0,"",'[1]Spreads VM-V Table X'!AR9)</f>
        <v>68.08</v>
      </c>
      <c r="AG9" s="44">
        <f>IF('[1]Spreads VM-V Table X'!AS9=0,"",'[1]Spreads VM-V Table X'!AS9)</f>
        <v>77.849999999999994</v>
      </c>
      <c r="AH9" s="44">
        <f>IF('[1]Spreads VM-V Table X'!AT9=0,"",'[1]Spreads VM-V Table X'!AT9)</f>
        <v>87.63</v>
      </c>
      <c r="AI9" s="44">
        <f>IF('[1]Spreads VM-V Table X'!AU9=0,"",'[1]Spreads VM-V Table X'!AU9)</f>
        <v>110.58</v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>
        <f>IF('[1]Spreads VM-V Table X'!AL10=0,"",'[1]Spreads VM-V Table X'!AL10)</f>
        <v>14.56</v>
      </c>
      <c r="AA10" s="44">
        <f>IF('[1]Spreads VM-V Table X'!AM10=0,"",'[1]Spreads VM-V Table X'!AM10)</f>
        <v>27.41</v>
      </c>
      <c r="AB10" s="44">
        <f>IF('[1]Spreads VM-V Table X'!AN10=0,"",'[1]Spreads VM-V Table X'!AN10)</f>
        <v>40.270000000000003</v>
      </c>
      <c r="AC10" s="44">
        <f>IF('[1]Spreads VM-V Table X'!AO10=0,"",'[1]Spreads VM-V Table X'!AO10)</f>
        <v>47.8</v>
      </c>
      <c r="AD10" s="44">
        <f>IF('[1]Spreads VM-V Table X'!AP10=0,"",'[1]Spreads VM-V Table X'!AP10)</f>
        <v>55.33</v>
      </c>
      <c r="AE10" s="44">
        <f>IF('[1]Spreads VM-V Table X'!AQ10=0,"",'[1]Spreads VM-V Table X'!AQ10)</f>
        <v>62.86</v>
      </c>
      <c r="AF10" s="44">
        <f>IF('[1]Spreads VM-V Table X'!AR10=0,"",'[1]Spreads VM-V Table X'!AR10)</f>
        <v>72.52</v>
      </c>
      <c r="AG10" s="44">
        <f>IF('[1]Spreads VM-V Table X'!AS10=0,"",'[1]Spreads VM-V Table X'!AS10)</f>
        <v>82.19</v>
      </c>
      <c r="AH10" s="44">
        <f>IF('[1]Spreads VM-V Table X'!AT10=0,"",'[1]Spreads VM-V Table X'!AT10)</f>
        <v>91.85</v>
      </c>
      <c r="AI10" s="44">
        <f>IF('[1]Spreads VM-V Table X'!AU10=0,"",'[1]Spreads VM-V Table X'!AU10)</f>
        <v>112.69</v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>
        <f>IF('[1]Spreads VM-V Table X'!AL11=0,"",'[1]Spreads VM-V Table X'!AL11)</f>
        <v>16.53</v>
      </c>
      <c r="AA11" s="44">
        <f>IF('[1]Spreads VM-V Table X'!AM11=0,"",'[1]Spreads VM-V Table X'!AM11)</f>
        <v>30.23</v>
      </c>
      <c r="AB11" s="44">
        <f>IF('[1]Spreads VM-V Table X'!AN11=0,"",'[1]Spreads VM-V Table X'!AN11)</f>
        <v>43.94</v>
      </c>
      <c r="AC11" s="44">
        <f>IF('[1]Spreads VM-V Table X'!AO11=0,"",'[1]Spreads VM-V Table X'!AO11)</f>
        <v>51.77</v>
      </c>
      <c r="AD11" s="44">
        <f>IF('[1]Spreads VM-V Table X'!AP11=0,"",'[1]Spreads VM-V Table X'!AP11)</f>
        <v>59.59</v>
      </c>
      <c r="AE11" s="44">
        <f>IF('[1]Spreads VM-V Table X'!AQ11=0,"",'[1]Spreads VM-V Table X'!AQ11)</f>
        <v>67.42</v>
      </c>
      <c r="AF11" s="44">
        <f>IF('[1]Spreads VM-V Table X'!AR11=0,"",'[1]Spreads VM-V Table X'!AR11)</f>
        <v>76.97</v>
      </c>
      <c r="AG11" s="44">
        <f>IF('[1]Spreads VM-V Table X'!AS11=0,"",'[1]Spreads VM-V Table X'!AS11)</f>
        <v>86.52</v>
      </c>
      <c r="AH11" s="44">
        <f>IF('[1]Spreads VM-V Table X'!AT11=0,"",'[1]Spreads VM-V Table X'!AT11)</f>
        <v>96.07</v>
      </c>
      <c r="AI11" s="44">
        <f>IF('[1]Spreads VM-V Table X'!AU11=0,"",'[1]Spreads VM-V Table X'!AU11)</f>
        <v>114.8</v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>
        <f>IF('[1]Spreads VM-V Table X'!AL12=0,"",'[1]Spreads VM-V Table X'!AL12)</f>
        <v>18.57</v>
      </c>
      <c r="AA12" s="44">
        <f>IF('[1]Spreads VM-V Table X'!AM12=0,"",'[1]Spreads VM-V Table X'!AM12)</f>
        <v>33.270000000000003</v>
      </c>
      <c r="AB12" s="44">
        <f>IF('[1]Spreads VM-V Table X'!AN12=0,"",'[1]Spreads VM-V Table X'!AN12)</f>
        <v>47.97</v>
      </c>
      <c r="AC12" s="44">
        <f>IF('[1]Spreads VM-V Table X'!AO12=0,"",'[1]Spreads VM-V Table X'!AO12)</f>
        <v>55.79</v>
      </c>
      <c r="AD12" s="44">
        <f>IF('[1]Spreads VM-V Table X'!AP12=0,"",'[1]Spreads VM-V Table X'!AP12)</f>
        <v>63.62</v>
      </c>
      <c r="AE12" s="44">
        <f>IF('[1]Spreads VM-V Table X'!AQ12=0,"",'[1]Spreads VM-V Table X'!AQ12)</f>
        <v>71.45</v>
      </c>
      <c r="AF12" s="44">
        <f>IF('[1]Spreads VM-V Table X'!AR12=0,"",'[1]Spreads VM-V Table X'!AR12)</f>
        <v>81.069999999999993</v>
      </c>
      <c r="AG12" s="44">
        <f>IF('[1]Spreads VM-V Table X'!AS12=0,"",'[1]Spreads VM-V Table X'!AS12)</f>
        <v>90.7</v>
      </c>
      <c r="AH12" s="44">
        <f>IF('[1]Spreads VM-V Table X'!AT12=0,"",'[1]Spreads VM-V Table X'!AT12)</f>
        <v>100.33</v>
      </c>
      <c r="AI12" s="44">
        <f>IF('[1]Spreads VM-V Table X'!AU12=0,"",'[1]Spreads VM-V Table X'!AU12)</f>
        <v>116.93</v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>
        <f>IF('[1]Spreads VM-V Table X'!AL13=0,"",'[1]Spreads VM-V Table X'!AL13)</f>
        <v>20.61</v>
      </c>
      <c r="AA13" s="44">
        <f>IF('[1]Spreads VM-V Table X'!AM13=0,"",'[1]Spreads VM-V Table X'!AM13)</f>
        <v>36.299999999999997</v>
      </c>
      <c r="AB13" s="44">
        <f>IF('[1]Spreads VM-V Table X'!AN13=0,"",'[1]Spreads VM-V Table X'!AN13)</f>
        <v>51.99</v>
      </c>
      <c r="AC13" s="44">
        <f>IF('[1]Spreads VM-V Table X'!AO13=0,"",'[1]Spreads VM-V Table X'!AO13)</f>
        <v>59.82</v>
      </c>
      <c r="AD13" s="44">
        <f>IF('[1]Spreads VM-V Table X'!AP13=0,"",'[1]Spreads VM-V Table X'!AP13)</f>
        <v>67.64</v>
      </c>
      <c r="AE13" s="44">
        <f>IF('[1]Spreads VM-V Table X'!AQ13=0,"",'[1]Spreads VM-V Table X'!AQ13)</f>
        <v>75.47</v>
      </c>
      <c r="AF13" s="44">
        <f>IF('[1]Spreads VM-V Table X'!AR13=0,"",'[1]Spreads VM-V Table X'!AR13)</f>
        <v>85.18</v>
      </c>
      <c r="AG13" s="44">
        <f>IF('[1]Spreads VM-V Table X'!AS13=0,"",'[1]Spreads VM-V Table X'!AS13)</f>
        <v>94.88</v>
      </c>
      <c r="AH13" s="44">
        <f>IF('[1]Spreads VM-V Table X'!AT13=0,"",'[1]Spreads VM-V Table X'!AT13)</f>
        <v>104.59</v>
      </c>
      <c r="AI13" s="44">
        <f>IF('[1]Spreads VM-V Table X'!AU13=0,"",'[1]Spreads VM-V Table X'!AU13)</f>
        <v>119.06</v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>
        <f>IF('[1]Spreads VM-V Table X'!AL14=0,"",'[1]Spreads VM-V Table X'!AL14)</f>
        <v>22.65</v>
      </c>
      <c r="AA14" s="44">
        <f>IF('[1]Spreads VM-V Table X'!AM14=0,"",'[1]Spreads VM-V Table X'!AM14)</f>
        <v>39.33</v>
      </c>
      <c r="AB14" s="44">
        <f>IF('[1]Spreads VM-V Table X'!AN14=0,"",'[1]Spreads VM-V Table X'!AN14)</f>
        <v>56.01</v>
      </c>
      <c r="AC14" s="44">
        <f>IF('[1]Spreads VM-V Table X'!AO14=0,"",'[1]Spreads VM-V Table X'!AO14)</f>
        <v>63.84</v>
      </c>
      <c r="AD14" s="44">
        <f>IF('[1]Spreads VM-V Table X'!AP14=0,"",'[1]Spreads VM-V Table X'!AP14)</f>
        <v>71.67</v>
      </c>
      <c r="AE14" s="44">
        <f>IF('[1]Spreads VM-V Table X'!AQ14=0,"",'[1]Spreads VM-V Table X'!AQ14)</f>
        <v>79.5</v>
      </c>
      <c r="AF14" s="44">
        <f>IF('[1]Spreads VM-V Table X'!AR14=0,"",'[1]Spreads VM-V Table X'!AR14)</f>
        <v>89.28</v>
      </c>
      <c r="AG14" s="44">
        <f>IF('[1]Spreads VM-V Table X'!AS14=0,"",'[1]Spreads VM-V Table X'!AS14)</f>
        <v>99.06</v>
      </c>
      <c r="AH14" s="44">
        <f>IF('[1]Spreads VM-V Table X'!AT14=0,"",'[1]Spreads VM-V Table X'!AT14)</f>
        <v>108.84</v>
      </c>
      <c r="AI14" s="44">
        <f>IF('[1]Spreads VM-V Table X'!AU14=0,"",'[1]Spreads VM-V Table X'!AU14)</f>
        <v>121.18</v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>
        <f>IF('[1]Spreads VM-V Table X'!AL15=0,"",'[1]Spreads VM-V Table X'!AL15)</f>
        <v>24.26</v>
      </c>
      <c r="AA15" s="44">
        <f>IF('[1]Spreads VM-V Table X'!AM15=0,"",'[1]Spreads VM-V Table X'!AM15)</f>
        <v>40.67</v>
      </c>
      <c r="AB15" s="44">
        <f>IF('[1]Spreads VM-V Table X'!AN15=0,"",'[1]Spreads VM-V Table X'!AN15)</f>
        <v>57.09</v>
      </c>
      <c r="AC15" s="44">
        <f>IF('[1]Spreads VM-V Table X'!AO15=0,"",'[1]Spreads VM-V Table X'!AO15)</f>
        <v>64.56</v>
      </c>
      <c r="AD15" s="44">
        <f>IF('[1]Spreads VM-V Table X'!AP15=0,"",'[1]Spreads VM-V Table X'!AP15)</f>
        <v>72.03</v>
      </c>
      <c r="AE15" s="44">
        <f>IF('[1]Spreads VM-V Table X'!AQ15=0,"",'[1]Spreads VM-V Table X'!AQ15)</f>
        <v>79.5</v>
      </c>
      <c r="AF15" s="44">
        <f>IF('[1]Spreads VM-V Table X'!AR15=0,"",'[1]Spreads VM-V Table X'!AR15)</f>
        <v>89.51</v>
      </c>
      <c r="AG15" s="44">
        <f>IF('[1]Spreads VM-V Table X'!AS15=0,"",'[1]Spreads VM-V Table X'!AS15)</f>
        <v>99.53</v>
      </c>
      <c r="AH15" s="44">
        <f>IF('[1]Spreads VM-V Table X'!AT15=0,"",'[1]Spreads VM-V Table X'!AT15)</f>
        <v>109.55</v>
      </c>
      <c r="AI15" s="44">
        <f>IF('[1]Spreads VM-V Table X'!AU15=0,"",'[1]Spreads VM-V Table X'!AU15)</f>
        <v>121.54</v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>
        <f>IF('[1]Spreads VM-V Table X'!AL16=0,"",'[1]Spreads VM-V Table X'!AL16)</f>
        <v>25.86</v>
      </c>
      <c r="AA16" s="44">
        <f>IF('[1]Spreads VM-V Table X'!AM16=0,"",'[1]Spreads VM-V Table X'!AM16)</f>
        <v>42.01</v>
      </c>
      <c r="AB16" s="44">
        <f>IF('[1]Spreads VM-V Table X'!AN16=0,"",'[1]Spreads VM-V Table X'!AN16)</f>
        <v>58.16</v>
      </c>
      <c r="AC16" s="44">
        <f>IF('[1]Spreads VM-V Table X'!AO16=0,"",'[1]Spreads VM-V Table X'!AO16)</f>
        <v>65.27</v>
      </c>
      <c r="AD16" s="44">
        <f>IF('[1]Spreads VM-V Table X'!AP16=0,"",'[1]Spreads VM-V Table X'!AP16)</f>
        <v>72.38</v>
      </c>
      <c r="AE16" s="44">
        <f>IF('[1]Spreads VM-V Table X'!AQ16=0,"",'[1]Spreads VM-V Table X'!AQ16)</f>
        <v>79.5</v>
      </c>
      <c r="AF16" s="44">
        <f>IF('[1]Spreads VM-V Table X'!AR16=0,"",'[1]Spreads VM-V Table X'!AR16)</f>
        <v>89.75</v>
      </c>
      <c r="AG16" s="44">
        <f>IF('[1]Spreads VM-V Table X'!AS16=0,"",'[1]Spreads VM-V Table X'!AS16)</f>
        <v>100</v>
      </c>
      <c r="AH16" s="44">
        <f>IF('[1]Spreads VM-V Table X'!AT16=0,"",'[1]Spreads VM-V Table X'!AT16)</f>
        <v>110.25</v>
      </c>
      <c r="AI16" s="44">
        <f>IF('[1]Spreads VM-V Table X'!AU16=0,"",'[1]Spreads VM-V Table X'!AU16)</f>
        <v>121.89</v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>
        <f>IF('[1]Spreads VM-V Table X'!AL17=0,"",'[1]Spreads VM-V Table X'!AL17)</f>
        <v>27.47</v>
      </c>
      <c r="AA17" s="44">
        <f>IF('[1]Spreads VM-V Table X'!AM17=0,"",'[1]Spreads VM-V Table X'!AM17)</f>
        <v>43.35</v>
      </c>
      <c r="AB17" s="44">
        <f>IF('[1]Spreads VM-V Table X'!AN17=0,"",'[1]Spreads VM-V Table X'!AN17)</f>
        <v>59.23</v>
      </c>
      <c r="AC17" s="44">
        <f>IF('[1]Spreads VM-V Table X'!AO17=0,"",'[1]Spreads VM-V Table X'!AO17)</f>
        <v>65.989999999999995</v>
      </c>
      <c r="AD17" s="44">
        <f>IF('[1]Spreads VM-V Table X'!AP17=0,"",'[1]Spreads VM-V Table X'!AP17)</f>
        <v>72.739999999999995</v>
      </c>
      <c r="AE17" s="44">
        <f>IF('[1]Spreads VM-V Table X'!AQ17=0,"",'[1]Spreads VM-V Table X'!AQ17)</f>
        <v>79.5</v>
      </c>
      <c r="AF17" s="44">
        <f>IF('[1]Spreads VM-V Table X'!AR17=0,"",'[1]Spreads VM-V Table X'!AR17)</f>
        <v>89.98</v>
      </c>
      <c r="AG17" s="44">
        <f>IF('[1]Spreads VM-V Table X'!AS17=0,"",'[1]Spreads VM-V Table X'!AS17)</f>
        <v>100.47</v>
      </c>
      <c r="AH17" s="44">
        <f>IF('[1]Spreads VM-V Table X'!AT17=0,"",'[1]Spreads VM-V Table X'!AT17)</f>
        <v>110.95</v>
      </c>
      <c r="AI17" s="44">
        <f>IF('[1]Spreads VM-V Table X'!AU17=0,"",'[1]Spreads VM-V Table X'!AU17)</f>
        <v>122.24</v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>
        <f>IF('[1]Spreads VM-V Table X'!AL18=0,"",'[1]Spreads VM-V Table X'!AL18)</f>
        <v>29.07</v>
      </c>
      <c r="AA18" s="44">
        <f>IF('[1]Spreads VM-V Table X'!AM18=0,"",'[1]Spreads VM-V Table X'!AM18)</f>
        <v>44.69</v>
      </c>
      <c r="AB18" s="44">
        <f>IF('[1]Spreads VM-V Table X'!AN18=0,"",'[1]Spreads VM-V Table X'!AN18)</f>
        <v>60.3</v>
      </c>
      <c r="AC18" s="44">
        <f>IF('[1]Spreads VM-V Table X'!AO18=0,"",'[1]Spreads VM-V Table X'!AO18)</f>
        <v>66.7</v>
      </c>
      <c r="AD18" s="44">
        <f>IF('[1]Spreads VM-V Table X'!AP18=0,"",'[1]Spreads VM-V Table X'!AP18)</f>
        <v>73.099999999999994</v>
      </c>
      <c r="AE18" s="44">
        <f>IF('[1]Spreads VM-V Table X'!AQ18=0,"",'[1]Spreads VM-V Table X'!AQ18)</f>
        <v>79.5</v>
      </c>
      <c r="AF18" s="44">
        <f>IF('[1]Spreads VM-V Table X'!AR18=0,"",'[1]Spreads VM-V Table X'!AR18)</f>
        <v>90.22</v>
      </c>
      <c r="AG18" s="44">
        <f>IF('[1]Spreads VM-V Table X'!AS18=0,"",'[1]Spreads VM-V Table X'!AS18)</f>
        <v>100.94</v>
      </c>
      <c r="AH18" s="44">
        <f>IF('[1]Spreads VM-V Table X'!AT18=0,"",'[1]Spreads VM-V Table X'!AT18)</f>
        <v>111.65</v>
      </c>
      <c r="AI18" s="44">
        <f>IF('[1]Spreads VM-V Table X'!AU18=0,"",'[1]Spreads VM-V Table X'!AU18)</f>
        <v>122.59</v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>
        <f>IF('[1]Spreads VM-V Table X'!AL19=0,"",'[1]Spreads VM-V Table X'!AL19)</f>
        <v>30.68</v>
      </c>
      <c r="AA19" s="44">
        <f>IF('[1]Spreads VM-V Table X'!AM19=0,"",'[1]Spreads VM-V Table X'!AM19)</f>
        <v>46.02</v>
      </c>
      <c r="AB19" s="44">
        <f>IF('[1]Spreads VM-V Table X'!AN19=0,"",'[1]Spreads VM-V Table X'!AN19)</f>
        <v>61.37</v>
      </c>
      <c r="AC19" s="44">
        <f>IF('[1]Spreads VM-V Table X'!AO19=0,"",'[1]Spreads VM-V Table X'!AO19)</f>
        <v>67.41</v>
      </c>
      <c r="AD19" s="44">
        <f>IF('[1]Spreads VM-V Table X'!AP19=0,"",'[1]Spreads VM-V Table X'!AP19)</f>
        <v>73.459999999999994</v>
      </c>
      <c r="AE19" s="44">
        <f>IF('[1]Spreads VM-V Table X'!AQ19=0,"",'[1]Spreads VM-V Table X'!AQ19)</f>
        <v>79.5</v>
      </c>
      <c r="AF19" s="44">
        <f>IF('[1]Spreads VM-V Table X'!AR19=0,"",'[1]Spreads VM-V Table X'!AR19)</f>
        <v>90.45</v>
      </c>
      <c r="AG19" s="44">
        <f>IF('[1]Spreads VM-V Table X'!AS19=0,"",'[1]Spreads VM-V Table X'!AS19)</f>
        <v>101.4</v>
      </c>
      <c r="AH19" s="44">
        <f>IF('[1]Spreads VM-V Table X'!AT19=0,"",'[1]Spreads VM-V Table X'!AT19)</f>
        <v>112.36</v>
      </c>
      <c r="AI19" s="44">
        <f>IF('[1]Spreads VM-V Table X'!AU19=0,"",'[1]Spreads VM-V Table X'!AU19)</f>
        <v>122.94</v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>
        <f>IF('[1]Spreads VM-V Table X'!AL20=0,"",'[1]Spreads VM-V Table X'!AL20)</f>
        <v>32.28</v>
      </c>
      <c r="AA20" s="44">
        <f>IF('[1]Spreads VM-V Table X'!AM20=0,"",'[1]Spreads VM-V Table X'!AM20)</f>
        <v>47.36</v>
      </c>
      <c r="AB20" s="44">
        <f>IF('[1]Spreads VM-V Table X'!AN20=0,"",'[1]Spreads VM-V Table X'!AN20)</f>
        <v>62.44</v>
      </c>
      <c r="AC20" s="44">
        <f>IF('[1]Spreads VM-V Table X'!AO20=0,"",'[1]Spreads VM-V Table X'!AO20)</f>
        <v>68.13</v>
      </c>
      <c r="AD20" s="44">
        <f>IF('[1]Spreads VM-V Table X'!AP20=0,"",'[1]Spreads VM-V Table X'!AP20)</f>
        <v>73.819999999999993</v>
      </c>
      <c r="AE20" s="44">
        <f>IF('[1]Spreads VM-V Table X'!AQ20=0,"",'[1]Spreads VM-V Table X'!AQ20)</f>
        <v>79.5</v>
      </c>
      <c r="AF20" s="44">
        <f>IF('[1]Spreads VM-V Table X'!AR20=0,"",'[1]Spreads VM-V Table X'!AR20)</f>
        <v>90.69</v>
      </c>
      <c r="AG20" s="44">
        <f>IF('[1]Spreads VM-V Table X'!AS20=0,"",'[1]Spreads VM-V Table X'!AS20)</f>
        <v>101.87</v>
      </c>
      <c r="AH20" s="44">
        <f>IF('[1]Spreads VM-V Table X'!AT20=0,"",'[1]Spreads VM-V Table X'!AT20)</f>
        <v>113.06</v>
      </c>
      <c r="AI20" s="44">
        <f>IF('[1]Spreads VM-V Table X'!AU20=0,"",'[1]Spreads VM-V Table X'!AU20)</f>
        <v>123.29</v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>
        <f>IF('[1]Spreads VM-V Table X'!AL21=0,"",'[1]Spreads VM-V Table X'!AL21)</f>
        <v>33.89</v>
      </c>
      <c r="AA21" s="44">
        <f>IF('[1]Spreads VM-V Table X'!AM21=0,"",'[1]Spreads VM-V Table X'!AM21)</f>
        <v>48.7</v>
      </c>
      <c r="AB21" s="44">
        <f>IF('[1]Spreads VM-V Table X'!AN21=0,"",'[1]Spreads VM-V Table X'!AN21)</f>
        <v>63.51</v>
      </c>
      <c r="AC21" s="44">
        <f>IF('[1]Spreads VM-V Table X'!AO21=0,"",'[1]Spreads VM-V Table X'!AO21)</f>
        <v>68.84</v>
      </c>
      <c r="AD21" s="44">
        <f>IF('[1]Spreads VM-V Table X'!AP21=0,"",'[1]Spreads VM-V Table X'!AP21)</f>
        <v>74.17</v>
      </c>
      <c r="AE21" s="44">
        <f>IF('[1]Spreads VM-V Table X'!AQ21=0,"",'[1]Spreads VM-V Table X'!AQ21)</f>
        <v>79.5</v>
      </c>
      <c r="AF21" s="44">
        <f>IF('[1]Spreads VM-V Table X'!AR21=0,"",'[1]Spreads VM-V Table X'!AR21)</f>
        <v>90.92</v>
      </c>
      <c r="AG21" s="44">
        <f>IF('[1]Spreads VM-V Table X'!AS21=0,"",'[1]Spreads VM-V Table X'!AS21)</f>
        <v>102.34</v>
      </c>
      <c r="AH21" s="44">
        <f>IF('[1]Spreads VM-V Table X'!AT21=0,"",'[1]Spreads VM-V Table X'!AT21)</f>
        <v>113.76</v>
      </c>
      <c r="AI21" s="44">
        <f>IF('[1]Spreads VM-V Table X'!AU21=0,"",'[1]Spreads VM-V Table X'!AU21)</f>
        <v>123.64</v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>
        <f>IF('[1]Spreads VM-V Table X'!AL22=0,"",'[1]Spreads VM-V Table X'!AL22)</f>
        <v>35.49</v>
      </c>
      <c r="AA22" s="44">
        <f>IF('[1]Spreads VM-V Table X'!AM22=0,"",'[1]Spreads VM-V Table X'!AM22)</f>
        <v>50.04</v>
      </c>
      <c r="AB22" s="44">
        <f>IF('[1]Spreads VM-V Table X'!AN22=0,"",'[1]Spreads VM-V Table X'!AN22)</f>
        <v>64.59</v>
      </c>
      <c r="AC22" s="44">
        <f>IF('[1]Spreads VM-V Table X'!AO22=0,"",'[1]Spreads VM-V Table X'!AO22)</f>
        <v>69.56</v>
      </c>
      <c r="AD22" s="44">
        <f>IF('[1]Spreads VM-V Table X'!AP22=0,"",'[1]Spreads VM-V Table X'!AP22)</f>
        <v>74.53</v>
      </c>
      <c r="AE22" s="44">
        <f>IF('[1]Spreads VM-V Table X'!AQ22=0,"",'[1]Spreads VM-V Table X'!AQ22)</f>
        <v>79.5</v>
      </c>
      <c r="AF22" s="44">
        <f>IF('[1]Spreads VM-V Table X'!AR22=0,"",'[1]Spreads VM-V Table X'!AR22)</f>
        <v>91.16</v>
      </c>
      <c r="AG22" s="44">
        <f>IF('[1]Spreads VM-V Table X'!AS22=0,"",'[1]Spreads VM-V Table X'!AS22)</f>
        <v>102.81</v>
      </c>
      <c r="AH22" s="44">
        <f>IF('[1]Spreads VM-V Table X'!AT22=0,"",'[1]Spreads VM-V Table X'!AT22)</f>
        <v>114.46</v>
      </c>
      <c r="AI22" s="44">
        <f>IF('[1]Spreads VM-V Table X'!AU22=0,"",'[1]Spreads VM-V Table X'!AU22)</f>
        <v>123.99</v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>
        <f>IF('[1]Spreads VM-V Table X'!AL23=0,"",'[1]Spreads VM-V Table X'!AL23)</f>
        <v>37.1</v>
      </c>
      <c r="AA23" s="44">
        <f>IF('[1]Spreads VM-V Table X'!AM23=0,"",'[1]Spreads VM-V Table X'!AM23)</f>
        <v>51.38</v>
      </c>
      <c r="AB23" s="44">
        <f>IF('[1]Spreads VM-V Table X'!AN23=0,"",'[1]Spreads VM-V Table X'!AN23)</f>
        <v>65.66</v>
      </c>
      <c r="AC23" s="44">
        <f>IF('[1]Spreads VM-V Table X'!AO23=0,"",'[1]Spreads VM-V Table X'!AO23)</f>
        <v>70.27</v>
      </c>
      <c r="AD23" s="44">
        <f>IF('[1]Spreads VM-V Table X'!AP23=0,"",'[1]Spreads VM-V Table X'!AP23)</f>
        <v>74.89</v>
      </c>
      <c r="AE23" s="44">
        <f>IF('[1]Spreads VM-V Table X'!AQ23=0,"",'[1]Spreads VM-V Table X'!AQ23)</f>
        <v>79.5</v>
      </c>
      <c r="AF23" s="44">
        <f>IF('[1]Spreads VM-V Table X'!AR23=0,"",'[1]Spreads VM-V Table X'!AR23)</f>
        <v>91.39</v>
      </c>
      <c r="AG23" s="44">
        <f>IF('[1]Spreads VM-V Table X'!AS23=0,"",'[1]Spreads VM-V Table X'!AS23)</f>
        <v>103.28</v>
      </c>
      <c r="AH23" s="44">
        <f>IF('[1]Spreads VM-V Table X'!AT23=0,"",'[1]Spreads VM-V Table X'!AT23)</f>
        <v>115.17</v>
      </c>
      <c r="AI23" s="44">
        <f>IF('[1]Spreads VM-V Table X'!AU23=0,"",'[1]Spreads VM-V Table X'!AU23)</f>
        <v>124.35</v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>
        <f>IF('[1]Spreads VM-V Table X'!AL24=0,"",'[1]Spreads VM-V Table X'!AL24)</f>
        <v>38.700000000000003</v>
      </c>
      <c r="AA24" s="44">
        <f>IF('[1]Spreads VM-V Table X'!AM24=0,"",'[1]Spreads VM-V Table X'!AM24)</f>
        <v>52.72</v>
      </c>
      <c r="AB24" s="44">
        <f>IF('[1]Spreads VM-V Table X'!AN24=0,"",'[1]Spreads VM-V Table X'!AN24)</f>
        <v>66.73</v>
      </c>
      <c r="AC24" s="44">
        <f>IF('[1]Spreads VM-V Table X'!AO24=0,"",'[1]Spreads VM-V Table X'!AO24)</f>
        <v>70.989999999999995</v>
      </c>
      <c r="AD24" s="44">
        <f>IF('[1]Spreads VM-V Table X'!AP24=0,"",'[1]Spreads VM-V Table X'!AP24)</f>
        <v>75.25</v>
      </c>
      <c r="AE24" s="44">
        <f>IF('[1]Spreads VM-V Table X'!AQ24=0,"",'[1]Spreads VM-V Table X'!AQ24)</f>
        <v>79.5</v>
      </c>
      <c r="AF24" s="44">
        <f>IF('[1]Spreads VM-V Table X'!AR24=0,"",'[1]Spreads VM-V Table X'!AR24)</f>
        <v>91.63</v>
      </c>
      <c r="AG24" s="44">
        <f>IF('[1]Spreads VM-V Table X'!AS24=0,"",'[1]Spreads VM-V Table X'!AS24)</f>
        <v>103.75</v>
      </c>
      <c r="AH24" s="44">
        <f>IF('[1]Spreads VM-V Table X'!AT24=0,"",'[1]Spreads VM-V Table X'!AT24)</f>
        <v>115.87</v>
      </c>
      <c r="AI24" s="44">
        <f>IF('[1]Spreads VM-V Table X'!AU24=0,"",'[1]Spreads VM-V Table X'!AU24)</f>
        <v>124.7</v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>
        <f>IF('[1]Spreads VM-V Table X'!AL25=0,"",'[1]Spreads VM-V Table X'!AL25)</f>
        <v>40.31</v>
      </c>
      <c r="AA25" s="44">
        <f>IF('[1]Spreads VM-V Table X'!AM25=0,"",'[1]Spreads VM-V Table X'!AM25)</f>
        <v>54.05</v>
      </c>
      <c r="AB25" s="44">
        <f>IF('[1]Spreads VM-V Table X'!AN25=0,"",'[1]Spreads VM-V Table X'!AN25)</f>
        <v>67.8</v>
      </c>
      <c r="AC25" s="44">
        <f>IF('[1]Spreads VM-V Table X'!AO25=0,"",'[1]Spreads VM-V Table X'!AO25)</f>
        <v>71.7</v>
      </c>
      <c r="AD25" s="44">
        <f>IF('[1]Spreads VM-V Table X'!AP25=0,"",'[1]Spreads VM-V Table X'!AP25)</f>
        <v>75.599999999999994</v>
      </c>
      <c r="AE25" s="44">
        <f>IF('[1]Spreads VM-V Table X'!AQ25=0,"",'[1]Spreads VM-V Table X'!AQ25)</f>
        <v>79.5</v>
      </c>
      <c r="AF25" s="44">
        <f>IF('[1]Spreads VM-V Table X'!AR25=0,"",'[1]Spreads VM-V Table X'!AR25)</f>
        <v>91.86</v>
      </c>
      <c r="AG25" s="44">
        <f>IF('[1]Spreads VM-V Table X'!AS25=0,"",'[1]Spreads VM-V Table X'!AS25)</f>
        <v>104.22</v>
      </c>
      <c r="AH25" s="44">
        <f>IF('[1]Spreads VM-V Table X'!AT25=0,"",'[1]Spreads VM-V Table X'!AT25)</f>
        <v>116.57</v>
      </c>
      <c r="AI25" s="44">
        <f>IF('[1]Spreads VM-V Table X'!AU25=0,"",'[1]Spreads VM-V Table X'!AU25)</f>
        <v>125.05</v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>
        <f>IF('[1]Spreads VM-V Table X'!AL26=0,"",'[1]Spreads VM-V Table X'!AL26)</f>
        <v>41.91</v>
      </c>
      <c r="AA26" s="44">
        <f>IF('[1]Spreads VM-V Table X'!AM26=0,"",'[1]Spreads VM-V Table X'!AM26)</f>
        <v>55.39</v>
      </c>
      <c r="AB26" s="44">
        <f>IF('[1]Spreads VM-V Table X'!AN26=0,"",'[1]Spreads VM-V Table X'!AN26)</f>
        <v>68.87</v>
      </c>
      <c r="AC26" s="44">
        <f>IF('[1]Spreads VM-V Table X'!AO26=0,"",'[1]Spreads VM-V Table X'!AO26)</f>
        <v>72.42</v>
      </c>
      <c r="AD26" s="44">
        <f>IF('[1]Spreads VM-V Table X'!AP26=0,"",'[1]Spreads VM-V Table X'!AP26)</f>
        <v>75.959999999999994</v>
      </c>
      <c r="AE26" s="44">
        <f>IF('[1]Spreads VM-V Table X'!AQ26=0,"",'[1]Spreads VM-V Table X'!AQ26)</f>
        <v>79.5</v>
      </c>
      <c r="AF26" s="44">
        <f>IF('[1]Spreads VM-V Table X'!AR26=0,"",'[1]Spreads VM-V Table X'!AR26)</f>
        <v>92.09</v>
      </c>
      <c r="AG26" s="44">
        <f>IF('[1]Spreads VM-V Table X'!AS26=0,"",'[1]Spreads VM-V Table X'!AS26)</f>
        <v>104.69</v>
      </c>
      <c r="AH26" s="44">
        <f>IF('[1]Spreads VM-V Table X'!AT26=0,"",'[1]Spreads VM-V Table X'!AT26)</f>
        <v>117.28</v>
      </c>
      <c r="AI26" s="44">
        <f>IF('[1]Spreads VM-V Table X'!AU26=0,"",'[1]Spreads VM-V Table X'!AU26)</f>
        <v>125.4</v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>
        <f>IF('[1]Spreads VM-V Table X'!AL27=0,"",'[1]Spreads VM-V Table X'!AL27)</f>
        <v>43.52</v>
      </c>
      <c r="AA27" s="44">
        <f>IF('[1]Spreads VM-V Table X'!AM27=0,"",'[1]Spreads VM-V Table X'!AM27)</f>
        <v>56.73</v>
      </c>
      <c r="AB27" s="44">
        <f>IF('[1]Spreads VM-V Table X'!AN27=0,"",'[1]Spreads VM-V Table X'!AN27)</f>
        <v>69.94</v>
      </c>
      <c r="AC27" s="44">
        <f>IF('[1]Spreads VM-V Table X'!AO27=0,"",'[1]Spreads VM-V Table X'!AO27)</f>
        <v>73.13</v>
      </c>
      <c r="AD27" s="44">
        <f>IF('[1]Spreads VM-V Table X'!AP27=0,"",'[1]Spreads VM-V Table X'!AP27)</f>
        <v>76.319999999999993</v>
      </c>
      <c r="AE27" s="44">
        <f>IF('[1]Spreads VM-V Table X'!AQ27=0,"",'[1]Spreads VM-V Table X'!AQ27)</f>
        <v>79.5</v>
      </c>
      <c r="AF27" s="44">
        <f>IF('[1]Spreads VM-V Table X'!AR27=0,"",'[1]Spreads VM-V Table X'!AR27)</f>
        <v>92.33</v>
      </c>
      <c r="AG27" s="44">
        <f>IF('[1]Spreads VM-V Table X'!AS27=0,"",'[1]Spreads VM-V Table X'!AS27)</f>
        <v>105.15</v>
      </c>
      <c r="AH27" s="44">
        <f>IF('[1]Spreads VM-V Table X'!AT27=0,"",'[1]Spreads VM-V Table X'!AT27)</f>
        <v>117.98</v>
      </c>
      <c r="AI27" s="44">
        <f>IF('[1]Spreads VM-V Table X'!AU27=0,"",'[1]Spreads VM-V Table X'!AU27)</f>
        <v>125.75</v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>
        <f>IF('[1]Spreads VM-V Table X'!AL28=0,"",'[1]Spreads VM-V Table X'!AL28)</f>
        <v>45.12</v>
      </c>
      <c r="AA28" s="44">
        <f>IF('[1]Spreads VM-V Table X'!AM28=0,"",'[1]Spreads VM-V Table X'!AM28)</f>
        <v>58.07</v>
      </c>
      <c r="AB28" s="44">
        <f>IF('[1]Spreads VM-V Table X'!AN28=0,"",'[1]Spreads VM-V Table X'!AN28)</f>
        <v>71.02</v>
      </c>
      <c r="AC28" s="44">
        <f>IF('[1]Spreads VM-V Table X'!AO28=0,"",'[1]Spreads VM-V Table X'!AO28)</f>
        <v>73.849999999999994</v>
      </c>
      <c r="AD28" s="44">
        <f>IF('[1]Spreads VM-V Table X'!AP28=0,"",'[1]Spreads VM-V Table X'!AP28)</f>
        <v>76.680000000000007</v>
      </c>
      <c r="AE28" s="44">
        <f>IF('[1]Spreads VM-V Table X'!AQ28=0,"",'[1]Spreads VM-V Table X'!AQ28)</f>
        <v>79.510000000000005</v>
      </c>
      <c r="AF28" s="44">
        <f>IF('[1]Spreads VM-V Table X'!AR28=0,"",'[1]Spreads VM-V Table X'!AR28)</f>
        <v>92.56</v>
      </c>
      <c r="AG28" s="44">
        <f>IF('[1]Spreads VM-V Table X'!AS28=0,"",'[1]Spreads VM-V Table X'!AS28)</f>
        <v>105.62</v>
      </c>
      <c r="AH28" s="44">
        <f>IF('[1]Spreads VM-V Table X'!AT28=0,"",'[1]Spreads VM-V Table X'!AT28)</f>
        <v>118.68</v>
      </c>
      <c r="AI28" s="44">
        <f>IF('[1]Spreads VM-V Table X'!AU28=0,"",'[1]Spreads VM-V Table X'!AU28)</f>
        <v>126.1</v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>
        <f>IF('[1]Spreads VM-V Table X'!AL29=0,"",'[1]Spreads VM-V Table X'!AL29)</f>
        <v>46.73</v>
      </c>
      <c r="AA29" s="44">
        <f>IF('[1]Spreads VM-V Table X'!AM29=0,"",'[1]Spreads VM-V Table X'!AM29)</f>
        <v>59.41</v>
      </c>
      <c r="AB29" s="44">
        <f>IF('[1]Spreads VM-V Table X'!AN29=0,"",'[1]Spreads VM-V Table X'!AN29)</f>
        <v>72.09</v>
      </c>
      <c r="AC29" s="44">
        <f>IF('[1]Spreads VM-V Table X'!AO29=0,"",'[1]Spreads VM-V Table X'!AO29)</f>
        <v>74.56</v>
      </c>
      <c r="AD29" s="44">
        <f>IF('[1]Spreads VM-V Table X'!AP29=0,"",'[1]Spreads VM-V Table X'!AP29)</f>
        <v>77.03</v>
      </c>
      <c r="AE29" s="44">
        <f>IF('[1]Spreads VM-V Table X'!AQ29=0,"",'[1]Spreads VM-V Table X'!AQ29)</f>
        <v>79.510000000000005</v>
      </c>
      <c r="AF29" s="44">
        <f>IF('[1]Spreads VM-V Table X'!AR29=0,"",'[1]Spreads VM-V Table X'!AR29)</f>
        <v>92.8</v>
      </c>
      <c r="AG29" s="44">
        <f>IF('[1]Spreads VM-V Table X'!AS29=0,"",'[1]Spreads VM-V Table X'!AS29)</f>
        <v>106.09</v>
      </c>
      <c r="AH29" s="44">
        <f>IF('[1]Spreads VM-V Table X'!AT29=0,"",'[1]Spreads VM-V Table X'!AT29)</f>
        <v>119.38</v>
      </c>
      <c r="AI29" s="44">
        <f>IF('[1]Spreads VM-V Table X'!AU29=0,"",'[1]Spreads VM-V Table X'!AU29)</f>
        <v>126.45</v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>
        <f>IF('[1]Spreads VM-V Table X'!AL30=0,"",'[1]Spreads VM-V Table X'!AL30)</f>
        <v>48.33</v>
      </c>
      <c r="AA30" s="44">
        <f>IF('[1]Spreads VM-V Table X'!AM30=0,"",'[1]Spreads VM-V Table X'!AM30)</f>
        <v>60.75</v>
      </c>
      <c r="AB30" s="44">
        <f>IF('[1]Spreads VM-V Table X'!AN30=0,"",'[1]Spreads VM-V Table X'!AN30)</f>
        <v>73.16</v>
      </c>
      <c r="AC30" s="44">
        <f>IF('[1]Spreads VM-V Table X'!AO30=0,"",'[1]Spreads VM-V Table X'!AO30)</f>
        <v>75.27</v>
      </c>
      <c r="AD30" s="44">
        <f>IF('[1]Spreads VM-V Table X'!AP30=0,"",'[1]Spreads VM-V Table X'!AP30)</f>
        <v>77.39</v>
      </c>
      <c r="AE30" s="44">
        <f>IF('[1]Spreads VM-V Table X'!AQ30=0,"",'[1]Spreads VM-V Table X'!AQ30)</f>
        <v>79.510000000000005</v>
      </c>
      <c r="AF30" s="44">
        <f>IF('[1]Spreads VM-V Table X'!AR30=0,"",'[1]Spreads VM-V Table X'!AR30)</f>
        <v>93.03</v>
      </c>
      <c r="AG30" s="44">
        <f>IF('[1]Spreads VM-V Table X'!AS30=0,"",'[1]Spreads VM-V Table X'!AS30)</f>
        <v>106.56</v>
      </c>
      <c r="AH30" s="44">
        <f>IF('[1]Spreads VM-V Table X'!AT30=0,"",'[1]Spreads VM-V Table X'!AT30)</f>
        <v>120.09</v>
      </c>
      <c r="AI30" s="44">
        <f>IF('[1]Spreads VM-V Table X'!AU30=0,"",'[1]Spreads VM-V Table X'!AU30)</f>
        <v>126.81</v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>
        <f>IF('[1]Spreads VM-V Table X'!AL31=0,"",'[1]Spreads VM-V Table X'!AL31)</f>
        <v>49.94</v>
      </c>
      <c r="AA31" s="44">
        <f>IF('[1]Spreads VM-V Table X'!AM31=0,"",'[1]Spreads VM-V Table X'!AM31)</f>
        <v>62.08</v>
      </c>
      <c r="AB31" s="44">
        <f>IF('[1]Spreads VM-V Table X'!AN31=0,"",'[1]Spreads VM-V Table X'!AN31)</f>
        <v>74.23</v>
      </c>
      <c r="AC31" s="44">
        <f>IF('[1]Spreads VM-V Table X'!AO31=0,"",'[1]Spreads VM-V Table X'!AO31)</f>
        <v>75.989999999999995</v>
      </c>
      <c r="AD31" s="44">
        <f>IF('[1]Spreads VM-V Table X'!AP31=0,"",'[1]Spreads VM-V Table X'!AP31)</f>
        <v>77.75</v>
      </c>
      <c r="AE31" s="44">
        <f>IF('[1]Spreads VM-V Table X'!AQ31=0,"",'[1]Spreads VM-V Table X'!AQ31)</f>
        <v>79.510000000000005</v>
      </c>
      <c r="AF31" s="44">
        <f>IF('[1]Spreads VM-V Table X'!AR31=0,"",'[1]Spreads VM-V Table X'!AR31)</f>
        <v>93.27</v>
      </c>
      <c r="AG31" s="44">
        <f>IF('[1]Spreads VM-V Table X'!AS31=0,"",'[1]Spreads VM-V Table X'!AS31)</f>
        <v>107.03</v>
      </c>
      <c r="AH31" s="44">
        <f>IF('[1]Spreads VM-V Table X'!AT31=0,"",'[1]Spreads VM-V Table X'!AT31)</f>
        <v>120.79</v>
      </c>
      <c r="AI31" s="44">
        <f>IF('[1]Spreads VM-V Table X'!AU31=0,"",'[1]Spreads VM-V Table X'!AU31)</f>
        <v>127.16</v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>
        <f>IF('[1]Spreads VM-V Table X'!AL32=0,"",'[1]Spreads VM-V Table X'!AL32)</f>
        <v>51.54</v>
      </c>
      <c r="AA32" s="44">
        <f>IF('[1]Spreads VM-V Table X'!AM32=0,"",'[1]Spreads VM-V Table X'!AM32)</f>
        <v>63.42</v>
      </c>
      <c r="AB32" s="44">
        <f>IF('[1]Spreads VM-V Table X'!AN32=0,"",'[1]Spreads VM-V Table X'!AN32)</f>
        <v>75.3</v>
      </c>
      <c r="AC32" s="44">
        <f>IF('[1]Spreads VM-V Table X'!AO32=0,"",'[1]Spreads VM-V Table X'!AO32)</f>
        <v>76.7</v>
      </c>
      <c r="AD32" s="44">
        <f>IF('[1]Spreads VM-V Table X'!AP32=0,"",'[1]Spreads VM-V Table X'!AP32)</f>
        <v>78.11</v>
      </c>
      <c r="AE32" s="44">
        <f>IF('[1]Spreads VM-V Table X'!AQ32=0,"",'[1]Spreads VM-V Table X'!AQ32)</f>
        <v>79.510000000000005</v>
      </c>
      <c r="AF32" s="44">
        <f>IF('[1]Spreads VM-V Table X'!AR32=0,"",'[1]Spreads VM-V Table X'!AR32)</f>
        <v>93.5</v>
      </c>
      <c r="AG32" s="44">
        <f>IF('[1]Spreads VM-V Table X'!AS32=0,"",'[1]Spreads VM-V Table X'!AS32)</f>
        <v>107.5</v>
      </c>
      <c r="AH32" s="44">
        <f>IF('[1]Spreads VM-V Table X'!AT32=0,"",'[1]Spreads VM-V Table X'!AT32)</f>
        <v>121.49</v>
      </c>
      <c r="AI32" s="44">
        <f>IF('[1]Spreads VM-V Table X'!AU32=0,"",'[1]Spreads VM-V Table X'!AU32)</f>
        <v>127.51</v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>
        <f>IF('[1]Spreads VM-V Table X'!AL33=0,"",'[1]Spreads VM-V Table X'!AL33)</f>
        <v>53.15</v>
      </c>
      <c r="AA33" s="44">
        <f>IF('[1]Spreads VM-V Table X'!AM33=0,"",'[1]Spreads VM-V Table X'!AM33)</f>
        <v>64.760000000000005</v>
      </c>
      <c r="AB33" s="44">
        <f>IF('[1]Spreads VM-V Table X'!AN33=0,"",'[1]Spreads VM-V Table X'!AN33)</f>
        <v>76.37</v>
      </c>
      <c r="AC33" s="44">
        <f>IF('[1]Spreads VM-V Table X'!AO33=0,"",'[1]Spreads VM-V Table X'!AO33)</f>
        <v>77.42</v>
      </c>
      <c r="AD33" s="44">
        <f>IF('[1]Spreads VM-V Table X'!AP33=0,"",'[1]Spreads VM-V Table X'!AP33)</f>
        <v>78.459999999999994</v>
      </c>
      <c r="AE33" s="44">
        <f>IF('[1]Spreads VM-V Table X'!AQ33=0,"",'[1]Spreads VM-V Table X'!AQ33)</f>
        <v>79.510000000000005</v>
      </c>
      <c r="AF33" s="44">
        <f>IF('[1]Spreads VM-V Table X'!AR33=0,"",'[1]Spreads VM-V Table X'!AR33)</f>
        <v>93.74</v>
      </c>
      <c r="AG33" s="44">
        <f>IF('[1]Spreads VM-V Table X'!AS33=0,"",'[1]Spreads VM-V Table X'!AS33)</f>
        <v>107.97</v>
      </c>
      <c r="AH33" s="44">
        <f>IF('[1]Spreads VM-V Table X'!AT33=0,"",'[1]Spreads VM-V Table X'!AT33)</f>
        <v>122.2</v>
      </c>
      <c r="AI33" s="44">
        <f>IF('[1]Spreads VM-V Table X'!AU33=0,"",'[1]Spreads VM-V Table X'!AU33)</f>
        <v>127.86</v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>
        <f>IF('[1]Spreads VM-V Table X'!AL34=0,"",'[1]Spreads VM-V Table X'!AL34)</f>
        <v>54.75</v>
      </c>
      <c r="AA34" s="44">
        <f>IF('[1]Spreads VM-V Table X'!AM34=0,"",'[1]Spreads VM-V Table X'!AM34)</f>
        <v>66.099999999999994</v>
      </c>
      <c r="AB34" s="44">
        <f>IF('[1]Spreads VM-V Table X'!AN34=0,"",'[1]Spreads VM-V Table X'!AN34)</f>
        <v>77.44</v>
      </c>
      <c r="AC34" s="44">
        <f>IF('[1]Spreads VM-V Table X'!AO34=0,"",'[1]Spreads VM-V Table X'!AO34)</f>
        <v>78.13</v>
      </c>
      <c r="AD34" s="44">
        <f>IF('[1]Spreads VM-V Table X'!AP34=0,"",'[1]Spreads VM-V Table X'!AP34)</f>
        <v>78.819999999999993</v>
      </c>
      <c r="AE34" s="44">
        <f>IF('[1]Spreads VM-V Table X'!AQ34=0,"",'[1]Spreads VM-V Table X'!AQ34)</f>
        <v>79.510000000000005</v>
      </c>
      <c r="AF34" s="44">
        <f>IF('[1]Spreads VM-V Table X'!AR34=0,"",'[1]Spreads VM-V Table X'!AR34)</f>
        <v>93.97</v>
      </c>
      <c r="AG34" s="44">
        <f>IF('[1]Spreads VM-V Table X'!AS34=0,"",'[1]Spreads VM-V Table X'!AS34)</f>
        <v>108.43</v>
      </c>
      <c r="AH34" s="44">
        <f>IF('[1]Spreads VM-V Table X'!AT34=0,"",'[1]Spreads VM-V Table X'!AT34)</f>
        <v>122.9</v>
      </c>
      <c r="AI34" s="44">
        <f>IF('[1]Spreads VM-V Table X'!AU34=0,"",'[1]Spreads VM-V Table X'!AU34)</f>
        <v>128.21</v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>
        <f>IF('[1]Spreads VM-V Table X'!AL35=0,"",'[1]Spreads VM-V Table X'!AL35)</f>
        <v>56.36</v>
      </c>
      <c r="AA35" s="44">
        <f>IF('[1]Spreads VM-V Table X'!AM35=0,"",'[1]Spreads VM-V Table X'!AM35)</f>
        <v>67.44</v>
      </c>
      <c r="AB35" s="44">
        <f>IF('[1]Spreads VM-V Table X'!AN35=0,"",'[1]Spreads VM-V Table X'!AN35)</f>
        <v>78.52</v>
      </c>
      <c r="AC35" s="44">
        <f>IF('[1]Spreads VM-V Table X'!AO35=0,"",'[1]Spreads VM-V Table X'!AO35)</f>
        <v>78.849999999999994</v>
      </c>
      <c r="AD35" s="44">
        <f>IF('[1]Spreads VM-V Table X'!AP35=0,"",'[1]Spreads VM-V Table X'!AP35)</f>
        <v>79.180000000000007</v>
      </c>
      <c r="AE35" s="44">
        <f>IF('[1]Spreads VM-V Table X'!AQ35=0,"",'[1]Spreads VM-V Table X'!AQ35)</f>
        <v>79.510000000000005</v>
      </c>
      <c r="AF35" s="44">
        <f>IF('[1]Spreads VM-V Table X'!AR35=0,"",'[1]Spreads VM-V Table X'!AR35)</f>
        <v>94.21</v>
      </c>
      <c r="AG35" s="44">
        <f>IF('[1]Spreads VM-V Table X'!AS35=0,"",'[1]Spreads VM-V Table X'!AS35)</f>
        <v>108.9</v>
      </c>
      <c r="AH35" s="44">
        <f>IF('[1]Spreads VM-V Table X'!AT35=0,"",'[1]Spreads VM-V Table X'!AT35)</f>
        <v>123.6</v>
      </c>
      <c r="AI35" s="44">
        <f>IF('[1]Spreads VM-V Table X'!AU35=0,"",'[1]Spreads VM-V Table X'!AU35)</f>
        <v>128.56</v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>
        <f>IF('[1]Spreads VM-V Table X'!AL36=0,"",'[1]Spreads VM-V Table X'!AL36)</f>
        <v>32.873333333333328</v>
      </c>
      <c r="AA36" s="44">
        <f>IF('[1]Spreads VM-V Table X'!AM36=0,"",'[1]Spreads VM-V Table X'!AM36)</f>
        <v>46.22</v>
      </c>
      <c r="AB36" s="44">
        <f>IF('[1]Spreads VM-V Table X'!AN36=0,"",'[1]Spreads VM-V Table X'!AN36)</f>
        <v>59.568333333333342</v>
      </c>
      <c r="AC36" s="44">
        <f>IF('[1]Spreads VM-V Table X'!AO36=0,"",'[1]Spreads VM-V Table X'!AO36)</f>
        <v>64.453333333333347</v>
      </c>
      <c r="AD36" s="44">
        <f>IF('[1]Spreads VM-V Table X'!AP36=0,"",'[1]Spreads VM-V Table X'!AP36)</f>
        <v>69.338333333333338</v>
      </c>
      <c r="AE36" s="44">
        <f>IF('[1]Spreads VM-V Table X'!AQ36=0,"",'[1]Spreads VM-V Table X'!AQ36)</f>
        <v>74.223666666666688</v>
      </c>
      <c r="AF36" s="44">
        <f>IF('[1]Spreads VM-V Table X'!AR36=0,"",'[1]Spreads VM-V Table X'!AR36)</f>
        <v>85.651999999999987</v>
      </c>
      <c r="AG36" s="44">
        <f>IF('[1]Spreads VM-V Table X'!AS36=0,"",'[1]Spreads VM-V Table X'!AS36)</f>
        <v>97.080999999999989</v>
      </c>
      <c r="AH36" s="44">
        <f>IF('[1]Spreads VM-V Table X'!AT36=0,"",'[1]Spreads VM-V Table X'!AT36)</f>
        <v>108.51</v>
      </c>
      <c r="AI36" s="44">
        <f>IF('[1]Spreads VM-V Table X'!AU36=0,"",'[1]Spreads VM-V Table X'!AU36)</f>
        <v>121.01766666666667</v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Reilly, Dan</cp:lastModifiedBy>
  <cp:lastPrinted>2024-02-15T20:01:27Z</cp:lastPrinted>
  <dcterms:created xsi:type="dcterms:W3CDTF">2017-10-17T19:32:15Z</dcterms:created>
  <dcterms:modified xsi:type="dcterms:W3CDTF">2026-07-13T15:47:28Z</dcterms:modified>
</cp:coreProperties>
</file>