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9DAF2A46-2146-4E06-A803-A9942177448E}" xr6:coauthVersionLast="47" xr6:coauthVersionMax="47" xr10:uidLastSave="{00000000-0000-0000-0000-000000000000}"/>
  <bookViews>
    <workbookView xWindow="28680" yWindow="-120" windowWidth="29040" windowHeight="16440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39" i="4" l="1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39" i="4" l="1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<sst xmlns="http://schemas.openxmlformats.org/spreadsheetml/2006/main" count="122" uniqueCount="43">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</sst>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333375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able%20Calculations/VM-V%202026%20Valuation%20Rate%20Calc.xlsm" TargetMode="External"/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  <cell r="Z6">
            <v>11.56</v>
          </cell>
          <cell r="AA6">
            <v>18.23</v>
          </cell>
          <cell r="AB6">
            <v>24.9</v>
          </cell>
          <cell r="AC6">
            <v>30.77</v>
          </cell>
          <cell r="AD6">
            <v>36.630000000000003</v>
          </cell>
          <cell r="AE6">
            <v>42.5</v>
          </cell>
          <cell r="AF6">
            <v>50.1</v>
          </cell>
          <cell r="AG6">
            <v>57.71</v>
          </cell>
          <cell r="AH6">
            <v>65.319999999999993</v>
          </cell>
          <cell r="AI6">
            <v>103.23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  <cell r="Z7">
            <v>14.38</v>
          </cell>
          <cell r="AA7">
            <v>22.17</v>
          </cell>
          <cell r="AB7">
            <v>29.96</v>
          </cell>
          <cell r="AC7">
            <v>36.04</v>
          </cell>
          <cell r="AD7">
            <v>42.12</v>
          </cell>
          <cell r="AE7">
            <v>48.2</v>
          </cell>
          <cell r="AF7">
            <v>56.92</v>
          </cell>
          <cell r="AG7">
            <v>65.63</v>
          </cell>
          <cell r="AH7">
            <v>74.34</v>
          </cell>
          <cell r="AI7">
            <v>107.74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  <cell r="Z8">
            <v>17.2</v>
          </cell>
          <cell r="AA8">
            <v>26.11</v>
          </cell>
          <cell r="AB8">
            <v>35.01</v>
          </cell>
          <cell r="AC8">
            <v>41.31</v>
          </cell>
          <cell r="AD8">
            <v>47.61</v>
          </cell>
          <cell r="AE8">
            <v>53.91</v>
          </cell>
          <cell r="AF8">
            <v>63.73</v>
          </cell>
          <cell r="AG8">
            <v>73.55</v>
          </cell>
          <cell r="AH8">
            <v>83.37</v>
          </cell>
          <cell r="AI8">
            <v>112.25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  <cell r="Z9">
            <v>20.03</v>
          </cell>
          <cell r="AA9">
            <v>30.05</v>
          </cell>
          <cell r="AB9">
            <v>40.07</v>
          </cell>
          <cell r="AC9">
            <v>46.59</v>
          </cell>
          <cell r="AD9">
            <v>53.1</v>
          </cell>
          <cell r="AE9">
            <v>59.62</v>
          </cell>
          <cell r="AF9">
            <v>70.540000000000006</v>
          </cell>
          <cell r="AG9">
            <v>81.47</v>
          </cell>
          <cell r="AH9">
            <v>92.39</v>
          </cell>
          <cell r="AI9">
            <v>116.76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  <cell r="Z10">
            <v>23.33</v>
          </cell>
          <cell r="AA10">
            <v>32.96</v>
          </cell>
          <cell r="AB10">
            <v>42.6</v>
          </cell>
          <cell r="AC10">
            <v>49.79</v>
          </cell>
          <cell r="AD10">
            <v>56.97</v>
          </cell>
          <cell r="AE10">
            <v>64.16</v>
          </cell>
          <cell r="AF10">
            <v>75.06</v>
          </cell>
          <cell r="AG10">
            <v>85.96</v>
          </cell>
          <cell r="AH10">
            <v>96.85</v>
          </cell>
          <cell r="AI10">
            <v>118.99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  <cell r="Z11">
            <v>26.63</v>
          </cell>
          <cell r="AA11">
            <v>35.880000000000003</v>
          </cell>
          <cell r="AB11">
            <v>45.13</v>
          </cell>
          <cell r="AC11">
            <v>52.99</v>
          </cell>
          <cell r="AD11">
            <v>60.84</v>
          </cell>
          <cell r="AE11">
            <v>68.7</v>
          </cell>
          <cell r="AF11">
            <v>79.569999999999993</v>
          </cell>
          <cell r="AG11">
            <v>90.44</v>
          </cell>
          <cell r="AH11">
            <v>101.32</v>
          </cell>
          <cell r="AI11">
            <v>121.23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  <cell r="Z12">
            <v>26.07</v>
          </cell>
          <cell r="AA12">
            <v>37.5</v>
          </cell>
          <cell r="AB12">
            <v>48.94</v>
          </cell>
          <cell r="AC12">
            <v>56.85</v>
          </cell>
          <cell r="AD12">
            <v>64.760000000000005</v>
          </cell>
          <cell r="AE12">
            <v>72.67</v>
          </cell>
          <cell r="AF12">
            <v>83.53</v>
          </cell>
          <cell r="AG12">
            <v>94.38</v>
          </cell>
          <cell r="AH12">
            <v>105.24</v>
          </cell>
          <cell r="AI12">
            <v>123.19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  <cell r="Z13">
            <v>25.51</v>
          </cell>
          <cell r="AA13">
            <v>39.130000000000003</v>
          </cell>
          <cell r="AB13">
            <v>52.74</v>
          </cell>
          <cell r="AC13">
            <v>60.71</v>
          </cell>
          <cell r="AD13">
            <v>68.680000000000007</v>
          </cell>
          <cell r="AE13">
            <v>76.650000000000006</v>
          </cell>
          <cell r="AF13">
            <v>87.49</v>
          </cell>
          <cell r="AG13">
            <v>98.32</v>
          </cell>
          <cell r="AH13">
            <v>109.16</v>
          </cell>
          <cell r="AI13">
            <v>125.15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  <cell r="Z14">
            <v>24.95</v>
          </cell>
          <cell r="AA14">
            <v>40.75</v>
          </cell>
          <cell r="AB14">
            <v>56.55</v>
          </cell>
          <cell r="AC14">
            <v>64.569999999999993</v>
          </cell>
          <cell r="AD14">
            <v>72.599999999999994</v>
          </cell>
          <cell r="AE14">
            <v>80.63</v>
          </cell>
          <cell r="AF14">
            <v>91.44</v>
          </cell>
          <cell r="AG14">
            <v>102.26</v>
          </cell>
          <cell r="AH14">
            <v>113.08</v>
          </cell>
          <cell r="AI14">
            <v>127.11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  <cell r="Z15">
            <v>26.61</v>
          </cell>
          <cell r="AA15">
            <v>42.14</v>
          </cell>
          <cell r="AB15">
            <v>57.67</v>
          </cell>
          <cell r="AC15">
            <v>65.38</v>
          </cell>
          <cell r="AD15">
            <v>73.099999999999994</v>
          </cell>
          <cell r="AE15">
            <v>80.819999999999993</v>
          </cell>
          <cell r="AF15">
            <v>91.86</v>
          </cell>
          <cell r="AG15">
            <v>102.91</v>
          </cell>
          <cell r="AH15">
            <v>113.96</v>
          </cell>
          <cell r="AI15">
            <v>127.55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  <cell r="Z16">
            <v>28.27</v>
          </cell>
          <cell r="AA16">
            <v>43.53</v>
          </cell>
          <cell r="AB16">
            <v>58.78</v>
          </cell>
          <cell r="AC16">
            <v>66.19</v>
          </cell>
          <cell r="AD16">
            <v>73.599999999999994</v>
          </cell>
          <cell r="AE16">
            <v>81.010000000000005</v>
          </cell>
          <cell r="AF16">
            <v>92.28</v>
          </cell>
          <cell r="AG16">
            <v>103.56</v>
          </cell>
          <cell r="AH16">
            <v>114.83</v>
          </cell>
          <cell r="AI16">
            <v>127.99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  <cell r="Z17">
            <v>29.93</v>
          </cell>
          <cell r="AA17">
            <v>44.91</v>
          </cell>
          <cell r="AB17">
            <v>59.9</v>
          </cell>
          <cell r="AC17">
            <v>67</v>
          </cell>
          <cell r="AD17">
            <v>74.099999999999994</v>
          </cell>
          <cell r="AE17">
            <v>81.2</v>
          </cell>
          <cell r="AF17">
            <v>92.7</v>
          </cell>
          <cell r="AG17">
            <v>104.21</v>
          </cell>
          <cell r="AH17">
            <v>115.71</v>
          </cell>
          <cell r="AI17">
            <v>128.41999999999999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  <cell r="Z18">
            <v>31.58</v>
          </cell>
          <cell r="AA18">
            <v>46.3</v>
          </cell>
          <cell r="AB18">
            <v>61.02</v>
          </cell>
          <cell r="AC18">
            <v>67.81</v>
          </cell>
          <cell r="AD18">
            <v>74.599999999999994</v>
          </cell>
          <cell r="AE18">
            <v>81.39</v>
          </cell>
          <cell r="AF18">
            <v>93.12</v>
          </cell>
          <cell r="AG18">
            <v>104.86</v>
          </cell>
          <cell r="AH18">
            <v>116.59</v>
          </cell>
          <cell r="AI18">
            <v>128.86000000000001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  <cell r="Z19">
            <v>33.24</v>
          </cell>
          <cell r="AA19">
            <v>47.69</v>
          </cell>
          <cell r="AB19">
            <v>62.14</v>
          </cell>
          <cell r="AC19">
            <v>68.62</v>
          </cell>
          <cell r="AD19">
            <v>75.099999999999994</v>
          </cell>
          <cell r="AE19">
            <v>81.58</v>
          </cell>
          <cell r="AF19">
            <v>93.54</v>
          </cell>
          <cell r="AG19">
            <v>105.51</v>
          </cell>
          <cell r="AH19">
            <v>117.47</v>
          </cell>
          <cell r="AI19">
            <v>129.30000000000001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  <cell r="Z20">
            <v>34.9</v>
          </cell>
          <cell r="AA20">
            <v>49.08</v>
          </cell>
          <cell r="AB20">
            <v>63.26</v>
          </cell>
          <cell r="AC20">
            <v>69.430000000000007</v>
          </cell>
          <cell r="AD20">
            <v>75.599999999999994</v>
          </cell>
          <cell r="AE20">
            <v>81.77</v>
          </cell>
          <cell r="AF20">
            <v>93.96</v>
          </cell>
          <cell r="AG20">
            <v>106.16</v>
          </cell>
          <cell r="AH20">
            <v>118.35</v>
          </cell>
          <cell r="AI20">
            <v>129.74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  <cell r="Z21">
            <v>36.56</v>
          </cell>
          <cell r="AA21">
            <v>50.47</v>
          </cell>
          <cell r="AB21">
            <v>64.38</v>
          </cell>
          <cell r="AC21">
            <v>70.239999999999995</v>
          </cell>
          <cell r="AD21">
            <v>76.099999999999994</v>
          </cell>
          <cell r="AE21">
            <v>81.96</v>
          </cell>
          <cell r="AF21">
            <v>94.38</v>
          </cell>
          <cell r="AG21">
            <v>106.81</v>
          </cell>
          <cell r="AH21">
            <v>119.23</v>
          </cell>
          <cell r="AI21">
            <v>130.18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  <cell r="Z22">
            <v>38.22</v>
          </cell>
          <cell r="AA22">
            <v>51.86</v>
          </cell>
          <cell r="AB22">
            <v>65.489999999999995</v>
          </cell>
          <cell r="AC22">
            <v>71.05</v>
          </cell>
          <cell r="AD22">
            <v>76.599999999999994</v>
          </cell>
          <cell r="AE22">
            <v>82.15</v>
          </cell>
          <cell r="AF22">
            <v>94.81</v>
          </cell>
          <cell r="AG22">
            <v>107.46</v>
          </cell>
          <cell r="AH22">
            <v>120.11</v>
          </cell>
          <cell r="AI22">
            <v>130.62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  <cell r="Z23">
            <v>39.880000000000003</v>
          </cell>
          <cell r="AA23">
            <v>53.25</v>
          </cell>
          <cell r="AB23">
            <v>66.61</v>
          </cell>
          <cell r="AC23">
            <v>71.86</v>
          </cell>
          <cell r="AD23">
            <v>77.099999999999994</v>
          </cell>
          <cell r="AE23">
            <v>82.34</v>
          </cell>
          <cell r="AF23">
            <v>95.23</v>
          </cell>
          <cell r="AG23">
            <v>108.11</v>
          </cell>
          <cell r="AH23">
            <v>120.99</v>
          </cell>
          <cell r="AI23">
            <v>131.06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  <cell r="Z24">
            <v>41.54</v>
          </cell>
          <cell r="AA24">
            <v>54.63</v>
          </cell>
          <cell r="AB24">
            <v>67.73</v>
          </cell>
          <cell r="AC24">
            <v>72.66</v>
          </cell>
          <cell r="AD24">
            <v>77.599999999999994</v>
          </cell>
          <cell r="AE24">
            <v>82.54</v>
          </cell>
          <cell r="AF24">
            <v>95.65</v>
          </cell>
          <cell r="AG24">
            <v>108.76</v>
          </cell>
          <cell r="AH24">
            <v>121.87</v>
          </cell>
          <cell r="AI24">
            <v>131.5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  <cell r="Z25">
            <v>43.2</v>
          </cell>
          <cell r="AA25">
            <v>56.02</v>
          </cell>
          <cell r="AB25">
            <v>68.849999999999994</v>
          </cell>
          <cell r="AC25">
            <v>73.47</v>
          </cell>
          <cell r="AD25">
            <v>78.099999999999994</v>
          </cell>
          <cell r="AE25">
            <v>82.73</v>
          </cell>
          <cell r="AF25">
            <v>96.07</v>
          </cell>
          <cell r="AG25">
            <v>109.41</v>
          </cell>
          <cell r="AH25">
            <v>122.74</v>
          </cell>
          <cell r="AI25">
            <v>131.94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  <cell r="Z26">
            <v>44.86</v>
          </cell>
          <cell r="AA26">
            <v>57.41</v>
          </cell>
          <cell r="AB26">
            <v>69.97</v>
          </cell>
          <cell r="AC26">
            <v>74.28</v>
          </cell>
          <cell r="AD26">
            <v>78.599999999999994</v>
          </cell>
          <cell r="AE26">
            <v>82.92</v>
          </cell>
          <cell r="AF26">
            <v>96.49</v>
          </cell>
          <cell r="AG26">
            <v>110.05</v>
          </cell>
          <cell r="AH26">
            <v>123.62</v>
          </cell>
          <cell r="AI26">
            <v>132.38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  <cell r="Z27">
            <v>46.52</v>
          </cell>
          <cell r="AA27">
            <v>58.8</v>
          </cell>
          <cell r="AB27">
            <v>71.08</v>
          </cell>
          <cell r="AC27">
            <v>75.09</v>
          </cell>
          <cell r="AD27">
            <v>79.099999999999994</v>
          </cell>
          <cell r="AE27">
            <v>83.11</v>
          </cell>
          <cell r="AF27">
            <v>96.91</v>
          </cell>
          <cell r="AG27">
            <v>110.7</v>
          </cell>
          <cell r="AH27">
            <v>124.5</v>
          </cell>
          <cell r="AI27">
            <v>132.82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  <cell r="Z28">
            <v>48.18</v>
          </cell>
          <cell r="AA28">
            <v>60.19</v>
          </cell>
          <cell r="AB28">
            <v>72.2</v>
          </cell>
          <cell r="AC28">
            <v>75.900000000000006</v>
          </cell>
          <cell r="AD28">
            <v>79.599999999999994</v>
          </cell>
          <cell r="AE28">
            <v>83.3</v>
          </cell>
          <cell r="AF28">
            <v>97.33</v>
          </cell>
          <cell r="AG28">
            <v>111.35</v>
          </cell>
          <cell r="AH28">
            <v>125.38</v>
          </cell>
          <cell r="AI28">
            <v>133.26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  <cell r="Z29">
            <v>49.84</v>
          </cell>
          <cell r="AA29">
            <v>61.58</v>
          </cell>
          <cell r="AB29">
            <v>73.319999999999993</v>
          </cell>
          <cell r="AC29">
            <v>76.709999999999994</v>
          </cell>
          <cell r="AD29">
            <v>80.099999999999994</v>
          </cell>
          <cell r="AE29">
            <v>83.49</v>
          </cell>
          <cell r="AF29">
            <v>97.75</v>
          </cell>
          <cell r="AG29">
            <v>112</v>
          </cell>
          <cell r="AH29">
            <v>126.26</v>
          </cell>
          <cell r="AI29">
            <v>133.69999999999999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  <cell r="Z30">
            <v>51.5</v>
          </cell>
          <cell r="AA30">
            <v>62.97</v>
          </cell>
          <cell r="AB30">
            <v>74.44</v>
          </cell>
          <cell r="AC30">
            <v>77.52</v>
          </cell>
          <cell r="AD30">
            <v>80.599999999999994</v>
          </cell>
          <cell r="AE30">
            <v>83.68</v>
          </cell>
          <cell r="AF30">
            <v>98.17</v>
          </cell>
          <cell r="AG30">
            <v>112.65</v>
          </cell>
          <cell r="AH30">
            <v>127.14</v>
          </cell>
          <cell r="AI30">
            <v>134.13999999999999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  <cell r="Z31">
            <v>53.16</v>
          </cell>
          <cell r="AA31">
            <v>64.36</v>
          </cell>
          <cell r="AB31">
            <v>75.56</v>
          </cell>
          <cell r="AC31">
            <v>78.33</v>
          </cell>
          <cell r="AD31">
            <v>81.099999999999994</v>
          </cell>
          <cell r="AE31">
            <v>83.87</v>
          </cell>
          <cell r="AF31">
            <v>98.59</v>
          </cell>
          <cell r="AG31">
            <v>113.3</v>
          </cell>
          <cell r="AH31">
            <v>128.02000000000001</v>
          </cell>
          <cell r="AI31">
            <v>134.58000000000001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  <cell r="Z32">
            <v>54.81</v>
          </cell>
          <cell r="AA32">
            <v>65.739999999999995</v>
          </cell>
          <cell r="AB32">
            <v>76.680000000000007</v>
          </cell>
          <cell r="AC32">
            <v>79.14</v>
          </cell>
          <cell r="AD32">
            <v>81.599999999999994</v>
          </cell>
          <cell r="AE32">
            <v>84.06</v>
          </cell>
          <cell r="AF32">
            <v>99.01</v>
          </cell>
          <cell r="AG32">
            <v>113.95</v>
          </cell>
          <cell r="AH32">
            <v>128.9</v>
          </cell>
          <cell r="AI32">
            <v>135.02000000000001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  <cell r="Z33">
            <v>56.47</v>
          </cell>
          <cell r="AA33">
            <v>67.13</v>
          </cell>
          <cell r="AB33">
            <v>77.790000000000006</v>
          </cell>
          <cell r="AC33">
            <v>79.95</v>
          </cell>
          <cell r="AD33">
            <v>82.1</v>
          </cell>
          <cell r="AE33">
            <v>84.25</v>
          </cell>
          <cell r="AF33">
            <v>99.43</v>
          </cell>
          <cell r="AG33">
            <v>114.6</v>
          </cell>
          <cell r="AH33">
            <v>129.78</v>
          </cell>
          <cell r="AI33">
            <v>135.46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  <cell r="Z34">
            <v>58.13</v>
          </cell>
          <cell r="AA34">
            <v>68.52</v>
          </cell>
          <cell r="AB34">
            <v>78.91</v>
          </cell>
          <cell r="AC34">
            <v>80.760000000000005</v>
          </cell>
          <cell r="AD34">
            <v>82.6</v>
          </cell>
          <cell r="AE34">
            <v>84.44</v>
          </cell>
          <cell r="AF34">
            <v>99.85</v>
          </cell>
          <cell r="AG34">
            <v>115.25</v>
          </cell>
          <cell r="AH34">
            <v>130.65</v>
          </cell>
          <cell r="AI34">
            <v>135.9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  <cell r="Z35">
            <v>59.79</v>
          </cell>
          <cell r="AA35">
            <v>69.91</v>
          </cell>
          <cell r="AB35">
            <v>80.03</v>
          </cell>
          <cell r="AC35">
            <v>81.56</v>
          </cell>
          <cell r="AD35">
            <v>83.1</v>
          </cell>
          <cell r="AE35">
            <v>84.64</v>
          </cell>
          <cell r="AF35">
            <v>100.27</v>
          </cell>
          <cell r="AG35">
            <v>115.9</v>
          </cell>
          <cell r="AH35">
            <v>131.53</v>
          </cell>
          <cell r="AI35">
            <v>136.33000000000001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  <cell r="Z36">
            <v>36.56166666666666</v>
          </cell>
          <cell r="AA36">
            <v>48.642333333333326</v>
          </cell>
          <cell r="AB36">
            <v>60.723666666666666</v>
          </cell>
          <cell r="AC36">
            <v>66.085666666666668</v>
          </cell>
          <cell r="AD36">
            <v>71.44699999999996</v>
          </cell>
          <cell r="AE36">
            <v>76.809666666666672</v>
          </cell>
          <cell r="AF36">
            <v>89.192666666666668</v>
          </cell>
          <cell r="AG36">
            <v>101.57433333333333</v>
          </cell>
          <cell r="AH36">
            <v>113.95666666666668</v>
          </cell>
          <cell r="AI36">
            <v>127.54666666666667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>
            <v>0.04</v>
          </cell>
        </row>
        <row r="20">
          <cell r="D20">
            <v>4.2500000000000003E-2</v>
          </cell>
        </row>
        <row r="21">
          <cell r="D21">
            <v>4.7500000000000001E-2</v>
          </cell>
        </row>
        <row r="22">
          <cell r="D22">
            <v>0.05</v>
          </cell>
        </row>
        <row r="24">
          <cell r="D24" t="e">
            <v>#N/A</v>
          </cell>
        </row>
        <row r="25">
          <cell r="D25" t="e">
            <v>#N/A</v>
          </cell>
        </row>
        <row r="26">
          <cell r="D26" t="e">
            <v>#N/A</v>
          </cell>
        </row>
        <row r="27">
          <cell r="D27" t="e">
            <v>#N/A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>
            <v>3.8600000000000002E-2</v>
          </cell>
          <cell r="J56">
            <v>4.2000000000000003E-2</v>
          </cell>
          <cell r="K56">
            <v>4.4699999999999997E-2</v>
          </cell>
          <cell r="L56">
            <v>4.7399999999999998E-2</v>
          </cell>
        </row>
        <row r="57">
          <cell r="H57">
            <v>46075</v>
          </cell>
          <cell r="I57">
            <v>3.8600000000000002E-2</v>
          </cell>
          <cell r="J57">
            <v>4.2000000000000003E-2</v>
          </cell>
          <cell r="K57">
            <v>4.4699999999999997E-2</v>
          </cell>
          <cell r="L57">
            <v>4.7399999999999998E-2</v>
          </cell>
        </row>
        <row r="58">
          <cell r="H58">
            <v>46076</v>
          </cell>
          <cell r="I58">
            <v>3.8600000000000002E-2</v>
          </cell>
          <cell r="J58">
            <v>4.2000000000000003E-2</v>
          </cell>
          <cell r="K58">
            <v>4.4699999999999997E-2</v>
          </cell>
          <cell r="L58">
            <v>4.7399999999999998E-2</v>
          </cell>
        </row>
        <row r="59">
          <cell r="H59">
            <v>46077</v>
          </cell>
          <cell r="I59">
            <v>3.8300000000000001E-2</v>
          </cell>
          <cell r="J59">
            <v>4.1700000000000001E-2</v>
          </cell>
          <cell r="K59">
            <v>4.4400000000000002E-2</v>
          </cell>
          <cell r="L59">
            <v>4.7300000000000002E-2</v>
          </cell>
        </row>
        <row r="60">
          <cell r="H60">
            <v>46078</v>
          </cell>
          <cell r="I60">
            <v>3.85E-2</v>
          </cell>
          <cell r="J60">
            <v>4.19E-2</v>
          </cell>
          <cell r="K60">
            <v>4.4600000000000001E-2</v>
          </cell>
          <cell r="L60">
            <v>4.7300000000000002E-2</v>
          </cell>
        </row>
        <row r="61">
          <cell r="H61">
            <v>46079</v>
          </cell>
          <cell r="I61">
            <v>3.8600000000000002E-2</v>
          </cell>
          <cell r="J61">
            <v>4.2000000000000003E-2</v>
          </cell>
          <cell r="K61">
            <v>4.4600000000000001E-2</v>
          </cell>
          <cell r="L61">
            <v>4.7399999999999998E-2</v>
          </cell>
        </row>
        <row r="62">
          <cell r="H62">
            <v>46080</v>
          </cell>
          <cell r="I62">
            <v>3.8399999999999997E-2</v>
          </cell>
          <cell r="J62">
            <v>4.1799999999999997E-2</v>
          </cell>
          <cell r="K62">
            <v>4.4499999999999998E-2</v>
          </cell>
          <cell r="L62">
            <v>4.7300000000000002E-2</v>
          </cell>
        </row>
        <row r="63">
          <cell r="H63">
            <v>46081</v>
          </cell>
          <cell r="I63">
            <v>3.8199999999999998E-2</v>
          </cell>
          <cell r="J63">
            <v>4.1700000000000001E-2</v>
          </cell>
          <cell r="K63">
            <v>4.4400000000000002E-2</v>
          </cell>
          <cell r="L63">
            <v>4.7300000000000002E-2</v>
          </cell>
        </row>
        <row r="64">
          <cell r="H64">
            <v>46082</v>
          </cell>
          <cell r="I64">
            <v>3.8199999999999998E-2</v>
          </cell>
          <cell r="J64">
            <v>4.1700000000000001E-2</v>
          </cell>
          <cell r="K64">
            <v>4.4400000000000002E-2</v>
          </cell>
          <cell r="L64">
            <v>4.7300000000000002E-2</v>
          </cell>
        </row>
        <row r="65">
          <cell r="H65">
            <v>46083</v>
          </cell>
          <cell r="I65">
            <v>3.8199999999999998E-2</v>
          </cell>
          <cell r="J65">
            <v>4.1700000000000001E-2</v>
          </cell>
          <cell r="K65">
            <v>4.4400000000000002E-2</v>
          </cell>
          <cell r="L65">
            <v>4.7300000000000002E-2</v>
          </cell>
        </row>
        <row r="66">
          <cell r="H66">
            <v>46084</v>
          </cell>
          <cell r="I66">
            <v>3.9300000000000002E-2</v>
          </cell>
          <cell r="J66">
            <v>4.2700000000000002E-2</v>
          </cell>
          <cell r="K66">
            <v>4.53E-2</v>
          </cell>
          <cell r="L66">
            <v>4.8099999999999997E-2</v>
          </cell>
        </row>
        <row r="67">
          <cell r="H67">
            <v>46085</v>
          </cell>
          <cell r="I67">
            <v>3.9399999999999998E-2</v>
          </cell>
          <cell r="J67">
            <v>4.2799999999999998E-2</v>
          </cell>
          <cell r="K67">
            <v>4.5400000000000003E-2</v>
          </cell>
          <cell r="L67">
            <v>4.82E-2</v>
          </cell>
        </row>
        <row r="68">
          <cell r="H68">
            <v>46086</v>
          </cell>
          <cell r="I68">
            <v>3.95E-2</v>
          </cell>
          <cell r="J68">
            <v>4.2799999999999998E-2</v>
          </cell>
          <cell r="K68">
            <v>4.5400000000000003E-2</v>
          </cell>
          <cell r="L68">
            <v>4.8099999999999997E-2</v>
          </cell>
        </row>
        <row r="69">
          <cell r="H69">
            <v>46087</v>
          </cell>
          <cell r="I69">
            <v>0.04</v>
          </cell>
          <cell r="J69">
            <v>4.3299999999999998E-2</v>
          </cell>
          <cell r="K69">
            <v>4.5900000000000003E-2</v>
          </cell>
          <cell r="L69">
            <v>4.8599999999999997E-2</v>
          </cell>
        </row>
        <row r="70">
          <cell r="H70">
            <v>46088</v>
          </cell>
          <cell r="I70">
            <v>4.02E-2</v>
          </cell>
          <cell r="J70">
            <v>4.36E-2</v>
          </cell>
          <cell r="K70">
            <v>4.6199999999999998E-2</v>
          </cell>
          <cell r="L70">
            <v>4.8899999999999999E-2</v>
          </cell>
        </row>
        <row r="71">
          <cell r="H71">
            <v>46089</v>
          </cell>
          <cell r="I71">
            <v>4.02E-2</v>
          </cell>
          <cell r="J71">
            <v>4.36E-2</v>
          </cell>
          <cell r="K71">
            <v>4.6199999999999998E-2</v>
          </cell>
          <cell r="L71">
            <v>4.8899999999999999E-2</v>
          </cell>
        </row>
        <row r="72">
          <cell r="H72">
            <v>46090</v>
          </cell>
          <cell r="I72">
            <v>4.02E-2</v>
          </cell>
          <cell r="J72">
            <v>4.36E-2</v>
          </cell>
          <cell r="K72">
            <v>4.6199999999999998E-2</v>
          </cell>
          <cell r="L72">
            <v>4.8899999999999999E-2</v>
          </cell>
        </row>
        <row r="73">
          <cell r="H73">
            <v>46091</v>
          </cell>
          <cell r="I73">
            <v>0.04</v>
          </cell>
          <cell r="J73">
            <v>4.3299999999999998E-2</v>
          </cell>
          <cell r="K73">
            <v>4.58E-2</v>
          </cell>
          <cell r="L73">
            <v>4.8500000000000001E-2</v>
          </cell>
        </row>
        <row r="74">
          <cell r="H74">
            <v>46092</v>
          </cell>
          <cell r="I74">
            <v>4.0300000000000002E-2</v>
          </cell>
          <cell r="J74">
            <v>4.3700000000000003E-2</v>
          </cell>
          <cell r="K74">
            <v>4.6300000000000001E-2</v>
          </cell>
          <cell r="L74">
            <v>4.9099999999999998E-2</v>
          </cell>
        </row>
        <row r="75">
          <cell r="H75">
            <v>46093</v>
          </cell>
          <cell r="I75">
            <v>4.1099999999999998E-2</v>
          </cell>
          <cell r="J75">
            <v>4.4600000000000001E-2</v>
          </cell>
          <cell r="K75">
            <v>4.7300000000000002E-2</v>
          </cell>
          <cell r="L75">
            <v>5.0099999999999999E-2</v>
          </cell>
        </row>
        <row r="76">
          <cell r="H76">
            <v>46094</v>
          </cell>
          <cell r="I76">
            <v>4.2200000000000001E-2</v>
          </cell>
          <cell r="J76">
            <v>4.5400000000000003E-2</v>
          </cell>
          <cell r="K76">
            <v>4.8000000000000001E-2</v>
          </cell>
          <cell r="L76">
            <v>5.0700000000000002E-2</v>
          </cell>
        </row>
        <row r="77">
          <cell r="H77">
            <v>46095</v>
          </cell>
          <cell r="I77">
            <v>4.2500000000000003E-2</v>
          </cell>
          <cell r="J77">
            <v>4.58E-2</v>
          </cell>
          <cell r="K77">
            <v>4.8399999999999999E-2</v>
          </cell>
          <cell r="L77">
            <v>5.11E-2</v>
          </cell>
        </row>
        <row r="78">
          <cell r="H78">
            <v>46096</v>
          </cell>
          <cell r="I78">
            <v>4.2500000000000003E-2</v>
          </cell>
          <cell r="J78">
            <v>4.58E-2</v>
          </cell>
          <cell r="K78">
            <v>4.8399999999999999E-2</v>
          </cell>
          <cell r="L78">
            <v>5.11E-2</v>
          </cell>
        </row>
        <row r="79">
          <cell r="H79">
            <v>46097</v>
          </cell>
          <cell r="I79">
            <v>4.2500000000000003E-2</v>
          </cell>
          <cell r="J79">
            <v>4.58E-2</v>
          </cell>
          <cell r="K79">
            <v>4.8399999999999999E-2</v>
          </cell>
          <cell r="L79">
            <v>5.11E-2</v>
          </cell>
        </row>
        <row r="80">
          <cell r="H80">
            <v>46098</v>
          </cell>
          <cell r="I80">
            <v>4.2000000000000003E-2</v>
          </cell>
          <cell r="J80">
            <v>4.5199999999999997E-2</v>
          </cell>
          <cell r="K80">
            <v>4.7800000000000002E-2</v>
          </cell>
          <cell r="L80">
            <v>5.0500000000000003E-2</v>
          </cell>
        </row>
        <row r="81">
          <cell r="H81">
            <v>46099</v>
          </cell>
          <cell r="I81">
            <v>4.1599999999999998E-2</v>
          </cell>
          <cell r="J81">
            <v>4.48E-2</v>
          </cell>
          <cell r="K81">
            <v>4.7399999999999998E-2</v>
          </cell>
          <cell r="L81">
            <v>0.05</v>
          </cell>
        </row>
        <row r="82">
          <cell r="H82">
            <v>46100</v>
          </cell>
          <cell r="I82">
            <v>4.2299999999999997E-2</v>
          </cell>
          <cell r="J82">
            <v>4.5400000000000003E-2</v>
          </cell>
          <cell r="K82">
            <v>4.7800000000000002E-2</v>
          </cell>
          <cell r="L82">
            <v>5.04E-2</v>
          </cell>
        </row>
        <row r="83">
          <cell r="H83">
            <v>46101</v>
          </cell>
          <cell r="I83">
            <v>4.24E-2</v>
          </cell>
          <cell r="J83">
            <v>4.5400000000000003E-2</v>
          </cell>
          <cell r="K83">
            <v>4.7699999999999999E-2</v>
          </cell>
          <cell r="L83">
            <v>5.0200000000000002E-2</v>
          </cell>
        </row>
        <row r="84">
          <cell r="H84">
            <v>46102</v>
          </cell>
          <cell r="I84">
            <v>4.3400000000000001E-2</v>
          </cell>
          <cell r="J84">
            <v>4.65E-2</v>
          </cell>
          <cell r="K84">
            <v>4.9000000000000002E-2</v>
          </cell>
          <cell r="L84">
            <v>5.1499999999999997E-2</v>
          </cell>
        </row>
        <row r="85">
          <cell r="H85">
            <v>46103</v>
          </cell>
          <cell r="I85">
            <v>4.3400000000000001E-2</v>
          </cell>
          <cell r="J85">
            <v>4.65E-2</v>
          </cell>
          <cell r="K85">
            <v>4.9000000000000002E-2</v>
          </cell>
          <cell r="L85">
            <v>5.1499999999999997E-2</v>
          </cell>
        </row>
        <row r="86">
          <cell r="H86">
            <v>46104</v>
          </cell>
          <cell r="I86">
            <v>4.3400000000000001E-2</v>
          </cell>
          <cell r="J86">
            <v>4.65E-2</v>
          </cell>
          <cell r="K86">
            <v>4.9000000000000002E-2</v>
          </cell>
          <cell r="L86">
            <v>5.1499999999999997E-2</v>
          </cell>
        </row>
        <row r="87">
          <cell r="H87">
            <v>46105</v>
          </cell>
          <cell r="I87">
            <v>4.2900000000000001E-2</v>
          </cell>
          <cell r="J87">
            <v>4.5999999999999999E-2</v>
          </cell>
          <cell r="K87">
            <v>4.8399999999999999E-2</v>
          </cell>
          <cell r="L87">
            <v>5.0900000000000001E-2</v>
          </cell>
        </row>
        <row r="88">
          <cell r="H88">
            <v>46106</v>
          </cell>
          <cell r="I88">
            <v>4.3299999999999998E-2</v>
          </cell>
          <cell r="J88">
            <v>4.6399999999999997E-2</v>
          </cell>
          <cell r="K88">
            <v>4.87E-2</v>
          </cell>
          <cell r="L88">
            <v>5.1200000000000002E-2</v>
          </cell>
        </row>
        <row r="89">
          <cell r="H89">
            <v>46107</v>
          </cell>
          <cell r="I89">
            <v>4.2799999999999998E-2</v>
          </cell>
          <cell r="J89">
            <v>4.5699999999999998E-2</v>
          </cell>
          <cell r="K89">
            <v>4.8099999999999997E-2</v>
          </cell>
          <cell r="L89">
            <v>5.0599999999999999E-2</v>
          </cell>
        </row>
        <row r="90">
          <cell r="H90">
            <v>46108</v>
          </cell>
          <cell r="I90">
            <v>4.3999999999999997E-2</v>
          </cell>
          <cell r="J90">
            <v>4.6899999999999997E-2</v>
          </cell>
          <cell r="K90">
            <v>4.9099999999999998E-2</v>
          </cell>
          <cell r="L90">
            <v>5.1499999999999997E-2</v>
          </cell>
        </row>
        <row r="91">
          <cell r="H91">
            <v>46109</v>
          </cell>
          <cell r="I91">
            <v>4.3999999999999997E-2</v>
          </cell>
          <cell r="J91">
            <v>4.7100000000000003E-2</v>
          </cell>
          <cell r="K91">
            <v>4.9500000000000002E-2</v>
          </cell>
          <cell r="L91">
            <v>5.1900000000000002E-2</v>
          </cell>
        </row>
        <row r="92">
          <cell r="H92">
            <v>46110</v>
          </cell>
          <cell r="I92">
            <v>4.3999999999999997E-2</v>
          </cell>
          <cell r="J92">
            <v>4.7100000000000003E-2</v>
          </cell>
          <cell r="K92">
            <v>4.9500000000000002E-2</v>
          </cell>
          <cell r="L92">
            <v>5.1900000000000002E-2</v>
          </cell>
        </row>
        <row r="93">
          <cell r="H93">
            <v>46111</v>
          </cell>
          <cell r="I93">
            <v>4.3999999999999997E-2</v>
          </cell>
          <cell r="J93">
            <v>4.7100000000000003E-2</v>
          </cell>
          <cell r="K93">
            <v>4.9500000000000002E-2</v>
          </cell>
          <cell r="L93">
            <v>5.1900000000000002E-2</v>
          </cell>
        </row>
        <row r="94">
          <cell r="H94">
            <v>46112</v>
          </cell>
          <cell r="I94">
            <v>4.3299999999999998E-2</v>
          </cell>
          <cell r="J94">
            <v>4.6399999999999997E-2</v>
          </cell>
          <cell r="K94">
            <v>4.87E-2</v>
          </cell>
          <cell r="L94">
            <v>5.1200000000000002E-2</v>
          </cell>
        </row>
        <row r="95">
          <cell r="H95">
            <v>46113</v>
          </cell>
          <cell r="I95">
            <v>4.3099999999999999E-2</v>
          </cell>
          <cell r="J95">
            <v>4.6199999999999998E-2</v>
          </cell>
          <cell r="K95">
            <v>4.8599999999999997E-2</v>
          </cell>
          <cell r="L95">
            <v>5.0999999999999997E-2</v>
          </cell>
        </row>
        <row r="96">
          <cell r="H96">
            <v>46114</v>
          </cell>
          <cell r="I96">
            <v>4.2999999999999997E-2</v>
          </cell>
          <cell r="J96">
            <v>4.6100000000000002E-2</v>
          </cell>
          <cell r="K96">
            <v>4.8399999999999999E-2</v>
          </cell>
          <cell r="L96">
            <v>5.0999999999999997E-2</v>
          </cell>
        </row>
        <row r="97">
          <cell r="H97">
            <v>46115</v>
          </cell>
          <cell r="I97">
            <v>4.2700000000000002E-2</v>
          </cell>
          <cell r="J97">
            <v>4.5699999999999998E-2</v>
          </cell>
          <cell r="K97">
            <v>4.8099999999999997E-2</v>
          </cell>
          <cell r="L97">
            <v>5.0599999999999999E-2</v>
          </cell>
        </row>
        <row r="98">
          <cell r="H98">
            <v>46116</v>
          </cell>
          <cell r="I98">
            <v>4.2700000000000002E-2</v>
          </cell>
          <cell r="J98">
            <v>4.5699999999999998E-2</v>
          </cell>
          <cell r="K98">
            <v>4.8099999999999997E-2</v>
          </cell>
          <cell r="L98">
            <v>5.0599999999999999E-2</v>
          </cell>
        </row>
        <row r="99">
          <cell r="H99">
            <v>46117</v>
          </cell>
          <cell r="I99">
            <v>4.2700000000000002E-2</v>
          </cell>
          <cell r="J99">
            <v>4.5699999999999998E-2</v>
          </cell>
          <cell r="K99">
            <v>4.8099999999999997E-2</v>
          </cell>
          <cell r="L99">
            <v>5.0599999999999999E-2</v>
          </cell>
        </row>
        <row r="100">
          <cell r="H100">
            <v>46118</v>
          </cell>
          <cell r="I100">
            <v>4.2700000000000002E-2</v>
          </cell>
          <cell r="J100">
            <v>4.5699999999999998E-2</v>
          </cell>
          <cell r="K100">
            <v>4.8099999999999997E-2</v>
          </cell>
          <cell r="L100">
            <v>5.0599999999999999E-2</v>
          </cell>
        </row>
        <row r="101">
          <cell r="H101">
            <v>46119</v>
          </cell>
          <cell r="I101">
            <v>4.2999999999999997E-2</v>
          </cell>
          <cell r="J101">
            <v>4.5900000000000003E-2</v>
          </cell>
          <cell r="K101">
            <v>4.82E-2</v>
          </cell>
          <cell r="L101">
            <v>5.0700000000000002E-2</v>
          </cell>
        </row>
        <row r="102">
          <cell r="H102">
            <v>46120</v>
          </cell>
          <cell r="I102">
            <v>4.2700000000000002E-2</v>
          </cell>
          <cell r="J102">
            <v>4.5699999999999998E-2</v>
          </cell>
          <cell r="K102">
            <v>4.8099999999999997E-2</v>
          </cell>
          <cell r="L102">
            <v>5.0599999999999999E-2</v>
          </cell>
        </row>
        <row r="103">
          <cell r="H103">
            <v>46121</v>
          </cell>
          <cell r="I103">
            <v>4.2200000000000001E-2</v>
          </cell>
          <cell r="J103">
            <v>4.5199999999999997E-2</v>
          </cell>
          <cell r="K103">
            <v>4.7600000000000003E-2</v>
          </cell>
          <cell r="L103">
            <v>5.0099999999999999E-2</v>
          </cell>
        </row>
        <row r="104">
          <cell r="H104">
            <v>46122</v>
          </cell>
          <cell r="I104">
            <v>4.2099999999999999E-2</v>
          </cell>
          <cell r="J104">
            <v>4.5100000000000001E-2</v>
          </cell>
          <cell r="K104">
            <v>4.7600000000000003E-2</v>
          </cell>
          <cell r="L104">
            <v>5.0200000000000002E-2</v>
          </cell>
        </row>
        <row r="105">
          <cell r="H105">
            <v>46123</v>
          </cell>
          <cell r="I105">
            <v>4.2299999999999997E-2</v>
          </cell>
          <cell r="J105">
            <v>4.5400000000000003E-2</v>
          </cell>
          <cell r="K105">
            <v>4.7800000000000002E-2</v>
          </cell>
          <cell r="L105">
            <v>5.04E-2</v>
          </cell>
        </row>
        <row r="106">
          <cell r="H106">
            <v>46124</v>
          </cell>
          <cell r="I106">
            <v>4.2299999999999997E-2</v>
          </cell>
          <cell r="J106">
            <v>4.5400000000000003E-2</v>
          </cell>
          <cell r="K106">
            <v>4.7800000000000002E-2</v>
          </cell>
          <cell r="L106">
            <v>5.04E-2</v>
          </cell>
        </row>
        <row r="107">
          <cell r="H107">
            <v>46125</v>
          </cell>
          <cell r="I107">
            <v>4.2299999999999997E-2</v>
          </cell>
          <cell r="J107">
            <v>4.5400000000000003E-2</v>
          </cell>
          <cell r="K107">
            <v>4.7800000000000002E-2</v>
          </cell>
          <cell r="L107">
            <v>5.04E-2</v>
          </cell>
        </row>
        <row r="108">
          <cell r="H108">
            <v>46126</v>
          </cell>
          <cell r="I108">
            <v>4.2000000000000003E-2</v>
          </cell>
          <cell r="J108">
            <v>4.4999999999999998E-2</v>
          </cell>
          <cell r="K108">
            <v>4.7500000000000001E-2</v>
          </cell>
          <cell r="L108">
            <v>5.0099999999999999E-2</v>
          </cell>
        </row>
        <row r="109">
          <cell r="H109">
            <v>46127</v>
          </cell>
          <cell r="I109">
            <v>4.1399999999999999E-2</v>
          </cell>
          <cell r="J109">
            <v>4.4400000000000002E-2</v>
          </cell>
          <cell r="K109">
            <v>4.6800000000000001E-2</v>
          </cell>
          <cell r="L109">
            <v>4.9500000000000002E-2</v>
          </cell>
        </row>
        <row r="110">
          <cell r="H110">
            <v>46128</v>
          </cell>
          <cell r="I110">
            <v>4.1599999999999998E-2</v>
          </cell>
          <cell r="J110">
            <v>4.4600000000000001E-2</v>
          </cell>
          <cell r="K110">
            <v>4.7100000000000003E-2</v>
          </cell>
          <cell r="L110">
            <v>4.9700000000000001E-2</v>
          </cell>
        </row>
        <row r="111">
          <cell r="H111">
            <v>46129</v>
          </cell>
          <cell r="I111">
            <v>4.19E-2</v>
          </cell>
          <cell r="J111">
            <v>4.4900000000000002E-2</v>
          </cell>
          <cell r="K111">
            <v>4.7399999999999998E-2</v>
          </cell>
          <cell r="L111">
            <v>5.0099999999999999E-2</v>
          </cell>
        </row>
        <row r="112">
          <cell r="H112">
            <v>46130</v>
          </cell>
          <cell r="I112">
            <v>4.1099999999999998E-2</v>
          </cell>
          <cell r="J112">
            <v>4.4200000000000003E-2</v>
          </cell>
          <cell r="K112">
            <v>4.6699999999999998E-2</v>
          </cell>
          <cell r="L112">
            <v>4.9399999999999999E-2</v>
          </cell>
        </row>
        <row r="113">
          <cell r="H113">
            <v>46131</v>
          </cell>
          <cell r="I113">
            <v>4.1099999999999998E-2</v>
          </cell>
          <cell r="J113">
            <v>4.4200000000000003E-2</v>
          </cell>
          <cell r="K113">
            <v>4.6699999999999998E-2</v>
          </cell>
          <cell r="L113">
            <v>4.9399999999999999E-2</v>
          </cell>
        </row>
        <row r="114">
          <cell r="H114">
            <v>46132</v>
          </cell>
          <cell r="I114">
            <v>4.1099999999999998E-2</v>
          </cell>
          <cell r="J114">
            <v>4.4200000000000003E-2</v>
          </cell>
          <cell r="K114">
            <v>4.6699999999999998E-2</v>
          </cell>
          <cell r="L114">
            <v>4.9399999999999999E-2</v>
          </cell>
        </row>
        <row r="115">
          <cell r="H115">
            <v>46133</v>
          </cell>
          <cell r="I115">
            <v>4.1300000000000003E-2</v>
          </cell>
          <cell r="J115">
            <v>4.4400000000000002E-2</v>
          </cell>
          <cell r="K115">
            <v>4.6899999999999997E-2</v>
          </cell>
          <cell r="L115">
            <v>4.9500000000000002E-2</v>
          </cell>
        </row>
        <row r="116">
          <cell r="H116">
            <v>46134</v>
          </cell>
          <cell r="I116">
            <v>4.19E-2</v>
          </cell>
          <cell r="J116">
            <v>4.4900000000000002E-2</v>
          </cell>
          <cell r="K116">
            <v>4.7300000000000002E-2</v>
          </cell>
          <cell r="L116">
            <v>4.99E-2</v>
          </cell>
        </row>
        <row r="117">
          <cell r="H117">
            <v>46135</v>
          </cell>
          <cell r="I117">
            <v>4.1700000000000001E-2</v>
          </cell>
          <cell r="J117">
            <v>4.4699999999999997E-2</v>
          </cell>
          <cell r="K117">
            <v>4.7100000000000003E-2</v>
          </cell>
          <cell r="L117">
            <v>4.9799999999999997E-2</v>
          </cell>
        </row>
        <row r="118">
          <cell r="H118">
            <v>46136</v>
          </cell>
          <cell r="I118">
            <v>4.2000000000000003E-2</v>
          </cell>
          <cell r="J118">
            <v>4.4999999999999998E-2</v>
          </cell>
          <cell r="K118">
            <v>4.7399999999999998E-2</v>
          </cell>
          <cell r="L118">
            <v>0.05</v>
          </cell>
        </row>
        <row r="119">
          <cell r="H119">
            <v>46137</v>
          </cell>
          <cell r="I119">
            <v>4.1700000000000001E-2</v>
          </cell>
          <cell r="J119">
            <v>4.48E-2</v>
          </cell>
          <cell r="K119">
            <v>4.7199999999999999E-2</v>
          </cell>
          <cell r="L119">
            <v>4.99E-2</v>
          </cell>
        </row>
        <row r="120">
          <cell r="H120">
            <v>46138</v>
          </cell>
          <cell r="I120">
            <v>4.1700000000000001E-2</v>
          </cell>
          <cell r="J120">
            <v>4.48E-2</v>
          </cell>
          <cell r="K120">
            <v>4.7199999999999999E-2</v>
          </cell>
          <cell r="L120">
            <v>4.99E-2</v>
          </cell>
        </row>
        <row r="121">
          <cell r="H121">
            <v>46139</v>
          </cell>
          <cell r="I121">
            <v>4.1700000000000001E-2</v>
          </cell>
          <cell r="J121">
            <v>4.48E-2</v>
          </cell>
          <cell r="K121">
            <v>4.7199999999999999E-2</v>
          </cell>
          <cell r="L121">
            <v>4.99E-2</v>
          </cell>
        </row>
        <row r="122">
          <cell r="H122">
            <v>46140</v>
          </cell>
          <cell r="I122">
            <v>4.2000000000000003E-2</v>
          </cell>
          <cell r="J122">
            <v>4.5199999999999997E-2</v>
          </cell>
          <cell r="K122">
            <v>4.7699999999999999E-2</v>
          </cell>
          <cell r="L122">
            <v>5.0299999999999997E-2</v>
          </cell>
        </row>
        <row r="123">
          <cell r="H123">
            <v>46141</v>
          </cell>
          <cell r="I123">
            <v>4.2299999999999997E-2</v>
          </cell>
          <cell r="J123">
            <v>4.5400000000000003E-2</v>
          </cell>
          <cell r="K123">
            <v>4.7800000000000002E-2</v>
          </cell>
          <cell r="L123">
            <v>5.04E-2</v>
          </cell>
        </row>
        <row r="124">
          <cell r="H124">
            <v>46142</v>
          </cell>
          <cell r="I124">
            <v>4.2999999999999997E-2</v>
          </cell>
          <cell r="J124">
            <v>4.5999999999999999E-2</v>
          </cell>
          <cell r="K124">
            <v>4.8399999999999999E-2</v>
          </cell>
          <cell r="L124">
            <v>5.0900000000000001E-2</v>
          </cell>
        </row>
        <row r="125">
          <cell r="H125">
            <v>46143</v>
          </cell>
          <cell r="I125">
            <v>4.2999999999999997E-2</v>
          </cell>
          <cell r="J125">
            <v>4.5999999999999999E-2</v>
          </cell>
          <cell r="K125">
            <v>4.8500000000000001E-2</v>
          </cell>
          <cell r="L125">
            <v>5.11E-2</v>
          </cell>
        </row>
        <row r="126">
          <cell r="H126">
            <v>46144</v>
          </cell>
          <cell r="I126">
            <v>4.2900000000000001E-2</v>
          </cell>
          <cell r="J126">
            <v>4.5900000000000003E-2</v>
          </cell>
          <cell r="K126">
            <v>4.8300000000000003E-2</v>
          </cell>
          <cell r="L126">
            <v>5.0900000000000001E-2</v>
          </cell>
        </row>
        <row r="127">
          <cell r="H127">
            <v>46145</v>
          </cell>
          <cell r="I127">
            <v>4.2900000000000001E-2</v>
          </cell>
          <cell r="J127">
            <v>4.5900000000000003E-2</v>
          </cell>
          <cell r="K127">
            <v>4.8300000000000003E-2</v>
          </cell>
          <cell r="L127">
            <v>5.0900000000000001E-2</v>
          </cell>
        </row>
        <row r="128">
          <cell r="H128">
            <v>46146</v>
          </cell>
          <cell r="I128">
            <v>4.2900000000000001E-2</v>
          </cell>
          <cell r="J128">
            <v>4.5900000000000003E-2</v>
          </cell>
          <cell r="K128">
            <v>4.8300000000000003E-2</v>
          </cell>
          <cell r="L128">
            <v>5.0900000000000001E-2</v>
          </cell>
        </row>
        <row r="129">
          <cell r="H129">
            <v>46147</v>
          </cell>
          <cell r="I129">
            <v>4.3400000000000001E-2</v>
          </cell>
          <cell r="J129">
            <v>4.6399999999999997E-2</v>
          </cell>
          <cell r="K129">
            <v>4.8800000000000003E-2</v>
          </cell>
          <cell r="L129">
            <v>5.1299999999999998E-2</v>
          </cell>
        </row>
        <row r="130">
          <cell r="H130">
            <v>46148</v>
          </cell>
          <cell r="I130">
            <v>4.3099999999999999E-2</v>
          </cell>
          <cell r="J130">
            <v>4.5999999999999999E-2</v>
          </cell>
          <cell r="K130">
            <v>4.8399999999999999E-2</v>
          </cell>
          <cell r="L130">
            <v>5.0900000000000001E-2</v>
          </cell>
        </row>
        <row r="131">
          <cell r="H131">
            <v>46149</v>
          </cell>
          <cell r="I131">
            <v>4.24E-2</v>
          </cell>
          <cell r="J131">
            <v>4.5400000000000003E-2</v>
          </cell>
          <cell r="K131">
            <v>4.7800000000000002E-2</v>
          </cell>
          <cell r="L131">
            <v>5.0299999999999997E-2</v>
          </cell>
        </row>
        <row r="132">
          <cell r="H132">
            <v>46150</v>
          </cell>
          <cell r="I132">
            <v>4.2799999999999998E-2</v>
          </cell>
          <cell r="J132">
            <v>4.58E-2</v>
          </cell>
          <cell r="K132">
            <v>4.82E-2</v>
          </cell>
          <cell r="L132">
            <v>5.0700000000000002E-2</v>
          </cell>
        </row>
        <row r="133">
          <cell r="H133">
            <v>46151</v>
          </cell>
          <cell r="I133">
            <v>4.2599999999999999E-2</v>
          </cell>
          <cell r="J133">
            <v>4.5499999999999999E-2</v>
          </cell>
          <cell r="K133">
            <v>4.7899999999999998E-2</v>
          </cell>
          <cell r="L133">
            <v>5.04E-2</v>
          </cell>
        </row>
        <row r="134">
          <cell r="H134">
            <v>46152</v>
          </cell>
          <cell r="I134">
            <v>4.2599999999999999E-2</v>
          </cell>
          <cell r="J134">
            <v>4.5499999999999999E-2</v>
          </cell>
          <cell r="K134">
            <v>4.7899999999999998E-2</v>
          </cell>
          <cell r="L134">
            <v>5.04E-2</v>
          </cell>
        </row>
        <row r="135">
          <cell r="H135">
            <v>46153</v>
          </cell>
          <cell r="I135">
            <v>4.2599999999999999E-2</v>
          </cell>
          <cell r="J135">
            <v>4.5499999999999999E-2</v>
          </cell>
          <cell r="K135">
            <v>4.7899999999999998E-2</v>
          </cell>
          <cell r="L135">
            <v>5.04E-2</v>
          </cell>
        </row>
        <row r="136">
          <cell r="H136">
            <v>46154</v>
          </cell>
          <cell r="I136">
            <v>4.2999999999999997E-2</v>
          </cell>
          <cell r="J136">
            <v>4.58E-2</v>
          </cell>
          <cell r="K136">
            <v>4.82E-2</v>
          </cell>
          <cell r="L136">
            <v>5.0700000000000002E-2</v>
          </cell>
        </row>
        <row r="137">
          <cell r="H137">
            <v>46155</v>
          </cell>
          <cell r="I137">
            <v>4.3499999999999997E-2</v>
          </cell>
          <cell r="J137">
            <v>4.6399999999999997E-2</v>
          </cell>
          <cell r="K137">
            <v>4.87E-2</v>
          </cell>
          <cell r="L137">
            <v>5.1200000000000002E-2</v>
          </cell>
        </row>
        <row r="138">
          <cell r="H138">
            <v>46156</v>
          </cell>
          <cell r="I138">
            <v>4.3299999999999998E-2</v>
          </cell>
          <cell r="J138">
            <v>4.6199999999999998E-2</v>
          </cell>
          <cell r="K138">
            <v>4.8599999999999997E-2</v>
          </cell>
          <cell r="L138">
            <v>5.11E-2</v>
          </cell>
        </row>
        <row r="139">
          <cell r="H139">
            <v>46157</v>
          </cell>
          <cell r="I139">
            <v>4.3299999999999998E-2</v>
          </cell>
          <cell r="J139">
            <v>4.6199999999999998E-2</v>
          </cell>
          <cell r="K139">
            <v>4.8500000000000001E-2</v>
          </cell>
          <cell r="L139">
            <v>5.0999999999999997E-2</v>
          </cell>
        </row>
        <row r="140">
          <cell r="H140">
            <v>46158</v>
          </cell>
          <cell r="I140">
            <v>4.4299999999999999E-2</v>
          </cell>
          <cell r="J140">
            <v>4.7199999999999999E-2</v>
          </cell>
          <cell r="K140">
            <v>4.9500000000000002E-2</v>
          </cell>
          <cell r="L140">
            <v>5.1900000000000002E-2</v>
          </cell>
        </row>
        <row r="141">
          <cell r="H141">
            <v>46159</v>
          </cell>
          <cell r="I141">
            <v>4.4299999999999999E-2</v>
          </cell>
          <cell r="J141">
            <v>4.7199999999999999E-2</v>
          </cell>
          <cell r="K141">
            <v>4.9500000000000002E-2</v>
          </cell>
          <cell r="L141">
            <v>5.1900000000000002E-2</v>
          </cell>
        </row>
        <row r="142">
          <cell r="H142">
            <v>46160</v>
          </cell>
          <cell r="I142">
            <v>4.4299999999999999E-2</v>
          </cell>
          <cell r="J142">
            <v>4.7199999999999999E-2</v>
          </cell>
          <cell r="K142">
            <v>4.9500000000000002E-2</v>
          </cell>
          <cell r="L142">
            <v>5.1900000000000002E-2</v>
          </cell>
        </row>
        <row r="143">
          <cell r="H143">
            <v>46161</v>
          </cell>
          <cell r="I143">
            <v>4.4299999999999999E-2</v>
          </cell>
          <cell r="J143">
            <v>4.7300000000000002E-2</v>
          </cell>
          <cell r="K143">
            <v>4.9599999999999998E-2</v>
          </cell>
          <cell r="L143">
            <v>5.1999999999999998E-2</v>
          </cell>
        </row>
        <row r="144">
          <cell r="H144">
            <v>46162</v>
          </cell>
          <cell r="I144" t="str">
            <v xml:space="preserve"> </v>
          </cell>
          <cell r="J144" t="str">
            <v xml:space="preserve"> </v>
          </cell>
          <cell r="K144" t="str">
            <v xml:space="preserve"> </v>
          </cell>
          <cell r="L144" t="str">
            <v xml:space="preserve"> </v>
          </cell>
        </row>
        <row r="145">
          <cell r="H145">
            <v>46163</v>
          </cell>
          <cell r="I145" t="str">
            <v xml:space="preserve"> </v>
          </cell>
          <cell r="J145" t="str">
            <v xml:space="preserve"> </v>
          </cell>
          <cell r="K145" t="str">
            <v xml:space="preserve"> </v>
          </cell>
          <cell r="L145" t="str">
            <v xml:space="preserve"> </v>
          </cell>
        </row>
        <row r="146">
          <cell r="H146">
            <v>46164</v>
          </cell>
          <cell r="I146" t="str">
            <v xml:space="preserve"> </v>
          </cell>
          <cell r="J146" t="str">
            <v xml:space="preserve"> </v>
          </cell>
          <cell r="K146" t="str">
            <v xml:space="preserve"> </v>
          </cell>
          <cell r="L146" t="str">
            <v xml:space="preserve"> </v>
          </cell>
        </row>
        <row r="147">
          <cell r="H147">
            <v>46165</v>
          </cell>
          <cell r="I147" t="str">
            <v xml:space="preserve"> </v>
          </cell>
          <cell r="J147" t="str">
            <v xml:space="preserve"> </v>
          </cell>
          <cell r="K147" t="str">
            <v xml:space="preserve"> </v>
          </cell>
          <cell r="L147" t="str">
            <v xml:space="preserve"> </v>
          </cell>
        </row>
        <row r="148">
          <cell r="H148">
            <v>46166</v>
          </cell>
          <cell r="I148" t="str">
            <v xml:space="preserve"> </v>
          </cell>
          <cell r="J148" t="str">
            <v xml:space="preserve"> </v>
          </cell>
          <cell r="K148" t="str">
            <v xml:space="preserve"> </v>
          </cell>
          <cell r="L148" t="str">
            <v xml:space="preserve"> </v>
          </cell>
        </row>
        <row r="149">
          <cell r="H149">
            <v>46167</v>
          </cell>
          <cell r="I149" t="str">
            <v xml:space="preserve"> </v>
          </cell>
          <cell r="J149" t="str">
            <v xml:space="preserve"> </v>
          </cell>
          <cell r="K149" t="str">
            <v xml:space="preserve"> </v>
          </cell>
          <cell r="L149" t="str">
            <v xml:space="preserve"> </v>
          </cell>
        </row>
        <row r="150">
          <cell r="H150">
            <v>46168</v>
          </cell>
          <cell r="I150" t="str">
            <v xml:space="preserve"> </v>
          </cell>
          <cell r="J150" t="str">
            <v xml:space="preserve"> </v>
          </cell>
          <cell r="K150" t="str">
            <v xml:space="preserve"> </v>
          </cell>
          <cell r="L150" t="str">
            <v xml:space="preserve"> </v>
          </cell>
        </row>
        <row r="151">
          <cell r="H151">
            <v>46169</v>
          </cell>
          <cell r="I151" t="str">
            <v xml:space="preserve"> </v>
          </cell>
          <cell r="J151" t="str">
            <v xml:space="preserve"> </v>
          </cell>
          <cell r="K151" t="str">
            <v xml:space="preserve"> </v>
          </cell>
          <cell r="L151" t="str">
            <v xml:space="preserve"> </v>
          </cell>
        </row>
        <row r="152">
          <cell r="H152">
            <v>46170</v>
          </cell>
          <cell r="I152" t="str">
            <v xml:space="preserve"> </v>
          </cell>
          <cell r="J152" t="str">
            <v xml:space="preserve"> </v>
          </cell>
          <cell r="K152" t="str">
            <v xml:space="preserve"> </v>
          </cell>
          <cell r="L152" t="str">
            <v xml:space="preserve"> </v>
          </cell>
        </row>
        <row r="153">
          <cell r="H153">
            <v>46171</v>
          </cell>
          <cell r="I153" t="str">
            <v xml:space="preserve"> </v>
          </cell>
          <cell r="J153" t="str">
            <v xml:space="preserve"> </v>
          </cell>
          <cell r="K153" t="str">
            <v xml:space="preserve"> </v>
          </cell>
          <cell r="L153" t="str">
            <v xml:space="preserve"> </v>
          </cell>
        </row>
        <row r="154">
          <cell r="H154">
            <v>46172</v>
          </cell>
          <cell r="I154" t="str">
            <v xml:space="preserve"> </v>
          </cell>
          <cell r="J154" t="str">
            <v xml:space="preserve"> </v>
          </cell>
          <cell r="K154" t="str">
            <v xml:space="preserve"> </v>
          </cell>
          <cell r="L154" t="str">
            <v xml:space="preserve"> </v>
          </cell>
        </row>
        <row r="155">
          <cell r="H155">
            <v>46173</v>
          </cell>
          <cell r="I155" t="str">
            <v xml:space="preserve"> </v>
          </cell>
          <cell r="J155" t="str">
            <v xml:space="preserve"> </v>
          </cell>
          <cell r="K155" t="str">
            <v xml:space="preserve"> </v>
          </cell>
          <cell r="L155" t="str">
            <v xml:space="preserve"> </v>
          </cell>
        </row>
        <row r="156">
          <cell r="H156">
            <v>46174</v>
          </cell>
          <cell r="I156" t="str">
            <v xml:space="preserve"> </v>
          </cell>
          <cell r="J156" t="str">
            <v xml:space="preserve"> </v>
          </cell>
          <cell r="K156" t="str">
            <v xml:space="preserve"> </v>
          </cell>
          <cell r="L156" t="str">
            <v xml:space="preserve"> </v>
          </cell>
        </row>
        <row r="157">
          <cell r="H157">
            <v>46175</v>
          </cell>
          <cell r="I157" t="str">
            <v xml:space="preserve"> </v>
          </cell>
          <cell r="J157" t="str">
            <v xml:space="preserve"> </v>
          </cell>
          <cell r="K157" t="str">
            <v xml:space="preserve"> </v>
          </cell>
          <cell r="L157" t="str">
            <v xml:space="preserve"> </v>
          </cell>
        </row>
        <row r="158">
          <cell r="H158">
            <v>46176</v>
          </cell>
          <cell r="I158" t="str">
            <v xml:space="preserve"> </v>
          </cell>
          <cell r="J158" t="str">
            <v xml:space="preserve"> </v>
          </cell>
          <cell r="K158" t="str">
            <v xml:space="preserve"> </v>
          </cell>
          <cell r="L158" t="str">
            <v xml:space="preserve"> </v>
          </cell>
        </row>
        <row r="159">
          <cell r="H159">
            <v>46177</v>
          </cell>
          <cell r="I159" t="str">
            <v xml:space="preserve"> </v>
          </cell>
          <cell r="J159" t="str">
            <v xml:space="preserve"> </v>
          </cell>
          <cell r="K159" t="str">
            <v xml:space="preserve"> </v>
          </cell>
          <cell r="L159" t="str">
            <v xml:space="preserve"> </v>
          </cell>
        </row>
        <row r="160">
          <cell r="H160">
            <v>46178</v>
          </cell>
          <cell r="I160" t="str">
            <v xml:space="preserve"> </v>
          </cell>
          <cell r="J160" t="str">
            <v xml:space="preserve"> </v>
          </cell>
          <cell r="K160" t="str">
            <v xml:space="preserve"> </v>
          </cell>
          <cell r="L160" t="str">
            <v xml:space="preserve"> </v>
          </cell>
        </row>
        <row r="161">
          <cell r="H161">
            <v>46179</v>
          </cell>
          <cell r="I161" t="str">
            <v xml:space="preserve"> </v>
          </cell>
          <cell r="J161" t="str">
            <v xml:space="preserve"> </v>
          </cell>
          <cell r="K161" t="str">
            <v xml:space="preserve"> </v>
          </cell>
          <cell r="L161" t="str">
            <v xml:space="preserve"> </v>
          </cell>
        </row>
        <row r="162">
          <cell r="H162">
            <v>46180</v>
          </cell>
          <cell r="I162" t="str">
            <v xml:space="preserve"> </v>
          </cell>
          <cell r="J162" t="str">
            <v xml:space="preserve"> </v>
          </cell>
          <cell r="K162" t="str">
            <v xml:space="preserve"> </v>
          </cell>
          <cell r="L162" t="str">
            <v xml:space="preserve"> </v>
          </cell>
        </row>
        <row r="163">
          <cell r="H163">
            <v>46181</v>
          </cell>
          <cell r="I163" t="str">
            <v xml:space="preserve"> </v>
          </cell>
          <cell r="J163" t="str">
            <v xml:space="preserve"> </v>
          </cell>
          <cell r="K163" t="str">
            <v xml:space="preserve"> </v>
          </cell>
          <cell r="L163" t="str">
            <v xml:space="preserve"> </v>
          </cell>
        </row>
        <row r="164">
          <cell r="H164">
            <v>46182</v>
          </cell>
          <cell r="I164" t="str">
            <v xml:space="preserve"> </v>
          </cell>
          <cell r="J164" t="str">
            <v xml:space="preserve"> </v>
          </cell>
          <cell r="K164" t="str">
            <v xml:space="preserve"> </v>
          </cell>
          <cell r="L164" t="str">
            <v xml:space="preserve"> </v>
          </cell>
        </row>
        <row r="165">
          <cell r="H165">
            <v>46183</v>
          </cell>
          <cell r="I165" t="str">
            <v xml:space="preserve"> </v>
          </cell>
          <cell r="J165" t="str">
            <v xml:space="preserve"> </v>
          </cell>
          <cell r="K165" t="str">
            <v xml:space="preserve"> </v>
          </cell>
          <cell r="L165" t="str">
            <v xml:space="preserve"> </v>
          </cell>
        </row>
        <row r="166">
          <cell r="H166">
            <v>46184</v>
          </cell>
          <cell r="I166" t="str">
            <v xml:space="preserve"> </v>
          </cell>
          <cell r="J166" t="str">
            <v xml:space="preserve"> </v>
          </cell>
          <cell r="K166" t="str">
            <v xml:space="preserve"> </v>
          </cell>
          <cell r="L166" t="str">
            <v xml:space="preserve"> </v>
          </cell>
        </row>
        <row r="167">
          <cell r="H167">
            <v>46185</v>
          </cell>
          <cell r="I167" t="str">
            <v xml:space="preserve"> </v>
          </cell>
          <cell r="J167" t="str">
            <v xml:space="preserve"> </v>
          </cell>
          <cell r="K167" t="str">
            <v xml:space="preserve"> </v>
          </cell>
          <cell r="L167" t="str">
            <v xml:space="preserve"> </v>
          </cell>
        </row>
        <row r="168">
          <cell r="H168">
            <v>46186</v>
          </cell>
          <cell r="I168" t="str">
            <v xml:space="preserve"> </v>
          </cell>
          <cell r="J168" t="str">
            <v xml:space="preserve"> </v>
          </cell>
          <cell r="K168" t="str">
            <v xml:space="preserve"> </v>
          </cell>
          <cell r="L168" t="str">
            <v xml:space="preserve"> </v>
          </cell>
        </row>
        <row r="169">
          <cell r="H169">
            <v>46187</v>
          </cell>
          <cell r="I169" t="str">
            <v xml:space="preserve"> </v>
          </cell>
          <cell r="J169" t="str">
            <v xml:space="preserve"> </v>
          </cell>
          <cell r="K169" t="str">
            <v xml:space="preserve"> </v>
          </cell>
          <cell r="L169" t="str">
            <v xml:space="preserve"> </v>
          </cell>
        </row>
        <row r="170">
          <cell r="H170">
            <v>46188</v>
          </cell>
          <cell r="I170" t="str">
            <v xml:space="preserve"> </v>
          </cell>
          <cell r="J170" t="str">
            <v xml:space="preserve"> </v>
          </cell>
          <cell r="K170" t="str">
            <v xml:space="preserve"> </v>
          </cell>
          <cell r="L170" t="str">
            <v xml:space="preserve"> </v>
          </cell>
        </row>
        <row r="171">
          <cell r="H171">
            <v>46189</v>
          </cell>
          <cell r="I171" t="str">
            <v xml:space="preserve"> </v>
          </cell>
          <cell r="J171" t="str">
            <v xml:space="preserve"> </v>
          </cell>
          <cell r="K171" t="str">
            <v xml:space="preserve"> </v>
          </cell>
          <cell r="L171" t="str">
            <v xml:space="preserve"> </v>
          </cell>
        </row>
        <row r="172">
          <cell r="H172">
            <v>46190</v>
          </cell>
          <cell r="I172" t="str">
            <v xml:space="preserve"> </v>
          </cell>
          <cell r="J172" t="str">
            <v xml:space="preserve"> </v>
          </cell>
          <cell r="K172" t="str">
            <v xml:space="preserve"> </v>
          </cell>
          <cell r="L172" t="str">
            <v xml:space="preserve"> </v>
          </cell>
        </row>
        <row r="173">
          <cell r="H173">
            <v>46191</v>
          </cell>
          <cell r="I173" t="str">
            <v xml:space="preserve"> </v>
          </cell>
          <cell r="J173" t="str">
            <v xml:space="preserve"> </v>
          </cell>
          <cell r="K173" t="str">
            <v xml:space="preserve"> </v>
          </cell>
          <cell r="L173" t="str">
            <v xml:space="preserve"> </v>
          </cell>
        </row>
        <row r="174">
          <cell r="H174">
            <v>46192</v>
          </cell>
          <cell r="I174" t="str">
            <v xml:space="preserve"> </v>
          </cell>
          <cell r="J174" t="str">
            <v xml:space="preserve"> </v>
          </cell>
          <cell r="K174" t="str">
            <v xml:space="preserve"> </v>
          </cell>
          <cell r="L174" t="str">
            <v xml:space="preserve"> </v>
          </cell>
        </row>
        <row r="175">
          <cell r="H175">
            <v>46193</v>
          </cell>
          <cell r="I175" t="str">
            <v xml:space="preserve"> </v>
          </cell>
          <cell r="J175" t="str">
            <v xml:space="preserve"> </v>
          </cell>
          <cell r="K175" t="str">
            <v xml:space="preserve"> </v>
          </cell>
          <cell r="L175" t="str">
            <v xml:space="preserve"> </v>
          </cell>
        </row>
        <row r="176">
          <cell r="H176">
            <v>46194</v>
          </cell>
          <cell r="I176" t="str">
            <v xml:space="preserve"> </v>
          </cell>
          <cell r="J176" t="str">
            <v xml:space="preserve"> </v>
          </cell>
          <cell r="K176" t="str">
            <v xml:space="preserve"> </v>
          </cell>
          <cell r="L176" t="str">
            <v xml:space="preserve"> </v>
          </cell>
        </row>
        <row r="177">
          <cell r="H177">
            <v>46195</v>
          </cell>
          <cell r="I177" t="str">
            <v xml:space="preserve"> </v>
          </cell>
          <cell r="J177" t="str">
            <v xml:space="preserve"> </v>
          </cell>
          <cell r="K177" t="str">
            <v xml:space="preserve"> </v>
          </cell>
          <cell r="L177" t="str">
            <v xml:space="preserve"> </v>
          </cell>
        </row>
        <row r="178">
          <cell r="H178">
            <v>46196</v>
          </cell>
          <cell r="I178" t="str">
            <v xml:space="preserve"> </v>
          </cell>
          <cell r="J178" t="str">
            <v xml:space="preserve"> </v>
          </cell>
          <cell r="K178" t="str">
            <v xml:space="preserve"> </v>
          </cell>
          <cell r="L178" t="str">
            <v xml:space="preserve"> </v>
          </cell>
        </row>
        <row r="179">
          <cell r="H179">
            <v>46197</v>
          </cell>
          <cell r="I179" t="str">
            <v xml:space="preserve"> </v>
          </cell>
          <cell r="J179" t="str">
            <v xml:space="preserve"> </v>
          </cell>
          <cell r="K179" t="str">
            <v xml:space="preserve"> </v>
          </cell>
          <cell r="L179" t="str">
            <v xml:space="preserve"> </v>
          </cell>
        </row>
        <row r="180">
          <cell r="H180">
            <v>46198</v>
          </cell>
          <cell r="I180" t="str">
            <v xml:space="preserve"> </v>
          </cell>
          <cell r="J180" t="str">
            <v xml:space="preserve"> </v>
          </cell>
          <cell r="K180" t="str">
            <v xml:space="preserve"> </v>
          </cell>
          <cell r="L180" t="str">
            <v xml:space="preserve"> </v>
          </cell>
        </row>
        <row r="181">
          <cell r="H181">
            <v>46199</v>
          </cell>
          <cell r="I181" t="str">
            <v xml:space="preserve"> </v>
          </cell>
          <cell r="J181" t="str">
            <v xml:space="preserve"> </v>
          </cell>
          <cell r="K181" t="str">
            <v xml:space="preserve"> </v>
          </cell>
          <cell r="L181" t="str">
            <v xml:space="preserve"> </v>
          </cell>
        </row>
        <row r="182">
          <cell r="H182">
            <v>46200</v>
          </cell>
          <cell r="I182" t="str">
            <v xml:space="preserve"> </v>
          </cell>
          <cell r="J182" t="str">
            <v xml:space="preserve"> </v>
          </cell>
          <cell r="K182" t="str">
            <v xml:space="preserve"> </v>
          </cell>
          <cell r="L182" t="str">
            <v xml:space="preserve"> </v>
          </cell>
        </row>
        <row r="183">
          <cell r="H183">
            <v>46201</v>
          </cell>
          <cell r="I183" t="str">
            <v xml:space="preserve"> </v>
          </cell>
          <cell r="J183" t="str">
            <v xml:space="preserve"> </v>
          </cell>
          <cell r="K183" t="str">
            <v xml:space="preserve"> </v>
          </cell>
          <cell r="L183" t="str">
            <v xml:space="preserve"> </v>
          </cell>
        </row>
        <row r="184">
          <cell r="H184">
            <v>46202</v>
          </cell>
          <cell r="I184" t="str">
            <v xml:space="preserve"> </v>
          </cell>
          <cell r="J184" t="str">
            <v xml:space="preserve"> </v>
          </cell>
          <cell r="K184" t="str">
            <v xml:space="preserve"> </v>
          </cell>
          <cell r="L184" t="str">
            <v xml:space="preserve"> </v>
          </cell>
        </row>
        <row r="185">
          <cell r="H185">
            <v>46203</v>
          </cell>
          <cell r="I185" t="str">
            <v xml:space="preserve"> </v>
          </cell>
          <cell r="J185" t="str">
            <v xml:space="preserve"> </v>
          </cell>
          <cell r="K185" t="str">
            <v xml:space="preserve"> </v>
          </cell>
          <cell r="L185" t="str">
            <v xml:space="preserve"> </v>
          </cell>
        </row>
        <row r="186">
          <cell r="H186">
            <v>46204</v>
          </cell>
          <cell r="I186" t="str">
            <v xml:space="preserve"> </v>
          </cell>
          <cell r="J186" t="str">
            <v xml:space="preserve"> </v>
          </cell>
          <cell r="K186" t="str">
            <v xml:space="preserve"> </v>
          </cell>
          <cell r="L186" t="str">
            <v xml:space="preserve"> </v>
          </cell>
        </row>
        <row r="187">
          <cell r="H187">
            <v>46205</v>
          </cell>
          <cell r="I187" t="str">
            <v xml:space="preserve"> </v>
          </cell>
          <cell r="J187" t="str">
            <v xml:space="preserve"> </v>
          </cell>
          <cell r="K187" t="str">
            <v xml:space="preserve"> </v>
          </cell>
          <cell r="L187" t="str">
            <v xml:space="preserve"> </v>
          </cell>
        </row>
        <row r="188">
          <cell r="H188">
            <v>46206</v>
          </cell>
          <cell r="I188" t="str">
            <v xml:space="preserve"> </v>
          </cell>
          <cell r="J188" t="str">
            <v xml:space="preserve"> </v>
          </cell>
          <cell r="K188" t="str">
            <v xml:space="preserve"> </v>
          </cell>
          <cell r="L188" t="str">
            <v xml:space="preserve"> </v>
          </cell>
        </row>
        <row r="189">
          <cell r="H189">
            <v>46207</v>
          </cell>
          <cell r="I189" t="str">
            <v xml:space="preserve"> </v>
          </cell>
          <cell r="J189" t="str">
            <v xml:space="preserve"> </v>
          </cell>
          <cell r="K189" t="str">
            <v xml:space="preserve"> </v>
          </cell>
          <cell r="L189" t="str">
            <v xml:space="preserve"> </v>
          </cell>
        </row>
        <row r="190">
          <cell r="H190">
            <v>46208</v>
          </cell>
          <cell r="I190" t="str">
            <v xml:space="preserve"> </v>
          </cell>
          <cell r="J190" t="str">
            <v xml:space="preserve"> </v>
          </cell>
          <cell r="K190" t="str">
            <v xml:space="preserve"> </v>
          </cell>
          <cell r="L190" t="str">
            <v xml:space="preserve"> </v>
          </cell>
        </row>
        <row r="191">
          <cell r="H191">
            <v>46209</v>
          </cell>
          <cell r="I191" t="str">
            <v xml:space="preserve"> </v>
          </cell>
          <cell r="J191" t="str">
            <v xml:space="preserve"> </v>
          </cell>
          <cell r="K191" t="str">
            <v xml:space="preserve"> </v>
          </cell>
          <cell r="L191" t="str">
            <v xml:space="preserve"> </v>
          </cell>
        </row>
        <row r="192">
          <cell r="H192">
            <v>46210</v>
          </cell>
          <cell r="I192" t="str">
            <v xml:space="preserve"> </v>
          </cell>
          <cell r="J192" t="str">
            <v xml:space="preserve"> </v>
          </cell>
          <cell r="K192" t="str">
            <v xml:space="preserve"> </v>
          </cell>
          <cell r="L192" t="str">
            <v xml:space="preserve"> </v>
          </cell>
        </row>
        <row r="193">
          <cell r="H193">
            <v>46211</v>
          </cell>
          <cell r="I193" t="str">
            <v xml:space="preserve"> </v>
          </cell>
          <cell r="J193" t="str">
            <v xml:space="preserve"> </v>
          </cell>
          <cell r="K193" t="str">
            <v xml:space="preserve"> </v>
          </cell>
          <cell r="L193" t="str">
            <v xml:space="preserve"> 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A5F544-68E3-4AE5-9B70-B029EA4CB5DA}">
  <we:reference id="1c33aa47-7f18-45ef-9463-1a8a868f1e5b" version="1.0.0.2" store="EXCatalog" storeType="EXCatalog"/>
  <we:alternateReferences>
    <we:reference id="WA200003692" version="1.0.0.2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126" activePane="bottomLeft" state="frozen"/>
      <selection pane="bottomLeft" activeCell="A142" sqref="A142"/>
    </sheetView>
  </sheetViews>
  <sheetFormatPr defaultRowHeight="15" x14ac:dyDescent="0.25"/>
  <cols>
    <col min="1" max="1" width="23.5703125" customWidth="1"/>
    <col min="2" max="2" width="12.140625" bestFit="1" customWidth="1"/>
    <col min="3" max="3" width="13.42578125" customWidth="1"/>
    <col min="4" max="4" width="14.5703125" customWidth="1"/>
    <col min="5" max="5" width="12.42578125" bestFit="1" customWidth="1"/>
  </cols>
  <sheetData>
    <row r="1" spans="1:5" x14ac:dyDescent="0.25">
      <c r="A1" s="46"/>
      <c r="B1" s="51" t="s">
        <v>4</v>
      </c>
      <c r="C1" s="52"/>
      <c r="D1" s="52"/>
      <c r="E1" s="53"/>
    </row>
    <row r="2" spans="1:5" x14ac:dyDescent="0.25">
      <c r="A2" s="13" t="s">
        <v>6</v>
      </c>
      <c r="B2" s="8"/>
      <c r="C2" s="8"/>
      <c r="D2" s="8"/>
      <c r="E2" s="8"/>
    </row>
    <row r="3" spans="1:5" x14ac:dyDescent="0.2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2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2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2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2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2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2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2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2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2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2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2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2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2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2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2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2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2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2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2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2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2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2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2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2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2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2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2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2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2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2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2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2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2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2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2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2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2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2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2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2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2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2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2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2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2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2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2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2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2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2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25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25">
      <c r="A55" s="15">
        <f>'[1]Jumbo Bus Date to PDD'!H56</f>
        <v>46074</v>
      </c>
      <c r="B55" s="17">
        <f ca="1">'[1]Jumbo Bus Date to PDD'!I56</f>
        <v>3.8600000000000002E-2</v>
      </c>
      <c r="C55" s="47">
        <f ca="1">'[1]Jumbo Bus Date to PDD'!J56</f>
        <v>4.2000000000000003E-2</v>
      </c>
      <c r="D55" s="47">
        <f ca="1">'[1]Jumbo Bus Date to PDD'!K56</f>
        <v>4.4699999999999997E-2</v>
      </c>
      <c r="E55" s="5">
        <f ca="1">'[1]Jumbo Bus Date to PDD'!L56</f>
        <v>4.7399999999999998E-2</v>
      </c>
    </row>
    <row r="56" spans="1:5" x14ac:dyDescent="0.25">
      <c r="A56" s="15">
        <f>'[1]Jumbo Bus Date to PDD'!H57</f>
        <v>46075</v>
      </c>
      <c r="B56" s="17">
        <f ca="1">'[1]Jumbo Bus Date to PDD'!I57</f>
        <v>3.8600000000000002E-2</v>
      </c>
      <c r="C56" s="47">
        <f ca="1">'[1]Jumbo Bus Date to PDD'!J57</f>
        <v>4.2000000000000003E-2</v>
      </c>
      <c r="D56" s="47">
        <f ca="1">'[1]Jumbo Bus Date to PDD'!K57</f>
        <v>4.4699999999999997E-2</v>
      </c>
      <c r="E56" s="5">
        <f ca="1">'[1]Jumbo Bus Date to PDD'!L57</f>
        <v>4.7399999999999998E-2</v>
      </c>
    </row>
    <row r="57" spans="1:5" x14ac:dyDescent="0.25">
      <c r="A57" s="15">
        <f>'[1]Jumbo Bus Date to PDD'!H58</f>
        <v>46076</v>
      </c>
      <c r="B57" s="17">
        <f ca="1">'[1]Jumbo Bus Date to PDD'!I58</f>
        <v>3.8600000000000002E-2</v>
      </c>
      <c r="C57" s="47">
        <f ca="1">'[1]Jumbo Bus Date to PDD'!J58</f>
        <v>4.2000000000000003E-2</v>
      </c>
      <c r="D57" s="47">
        <f ca="1">'[1]Jumbo Bus Date to PDD'!K58</f>
        <v>4.4699999999999997E-2</v>
      </c>
      <c r="E57" s="5">
        <f ca="1">'[1]Jumbo Bus Date to PDD'!L58</f>
        <v>4.7399999999999998E-2</v>
      </c>
    </row>
    <row r="58" spans="1:5" x14ac:dyDescent="0.25">
      <c r="A58" s="15">
        <f>'[1]Jumbo Bus Date to PDD'!H59</f>
        <v>46077</v>
      </c>
      <c r="B58" s="17">
        <f ca="1">'[1]Jumbo Bus Date to PDD'!I59</f>
        <v>3.8300000000000001E-2</v>
      </c>
      <c r="C58" s="47">
        <f ca="1">'[1]Jumbo Bus Date to PDD'!J59</f>
        <v>4.1700000000000001E-2</v>
      </c>
      <c r="D58" s="47">
        <f ca="1">'[1]Jumbo Bus Date to PDD'!K59</f>
        <v>4.4400000000000002E-2</v>
      </c>
      <c r="E58" s="5">
        <f ca="1">'[1]Jumbo Bus Date to PDD'!L59</f>
        <v>4.7300000000000002E-2</v>
      </c>
    </row>
    <row r="59" spans="1:5" x14ac:dyDescent="0.25">
      <c r="A59" s="15">
        <f>'[1]Jumbo Bus Date to PDD'!H60</f>
        <v>46078</v>
      </c>
      <c r="B59" s="17">
        <f ca="1">'[1]Jumbo Bus Date to PDD'!I60</f>
        <v>3.85E-2</v>
      </c>
      <c r="C59" s="47">
        <f ca="1">'[1]Jumbo Bus Date to PDD'!J60</f>
        <v>4.19E-2</v>
      </c>
      <c r="D59" s="47">
        <f ca="1">'[1]Jumbo Bus Date to PDD'!K60</f>
        <v>4.4600000000000001E-2</v>
      </c>
      <c r="E59" s="5">
        <f ca="1">'[1]Jumbo Bus Date to PDD'!L60</f>
        <v>4.7300000000000002E-2</v>
      </c>
    </row>
    <row r="60" spans="1:5" x14ac:dyDescent="0.25">
      <c r="A60" s="15">
        <f>'[1]Jumbo Bus Date to PDD'!H61</f>
        <v>46079</v>
      </c>
      <c r="B60" s="17">
        <f ca="1">'[1]Jumbo Bus Date to PDD'!I61</f>
        <v>3.8600000000000002E-2</v>
      </c>
      <c r="C60" s="47">
        <f ca="1">'[1]Jumbo Bus Date to PDD'!J61</f>
        <v>4.2000000000000003E-2</v>
      </c>
      <c r="D60" s="47">
        <f ca="1">'[1]Jumbo Bus Date to PDD'!K61</f>
        <v>4.4600000000000001E-2</v>
      </c>
      <c r="E60" s="5">
        <f ca="1">'[1]Jumbo Bus Date to PDD'!L61</f>
        <v>4.7399999999999998E-2</v>
      </c>
    </row>
    <row r="61" spans="1:5" x14ac:dyDescent="0.25">
      <c r="A61" s="15">
        <f>'[1]Jumbo Bus Date to PDD'!H62</f>
        <v>46080</v>
      </c>
      <c r="B61" s="17">
        <f ca="1">'[1]Jumbo Bus Date to PDD'!I62</f>
        <v>3.8399999999999997E-2</v>
      </c>
      <c r="C61" s="47">
        <f ca="1">'[1]Jumbo Bus Date to PDD'!J62</f>
        <v>4.1799999999999997E-2</v>
      </c>
      <c r="D61" s="47">
        <f ca="1">'[1]Jumbo Bus Date to PDD'!K62</f>
        <v>4.4499999999999998E-2</v>
      </c>
      <c r="E61" s="5">
        <f ca="1">'[1]Jumbo Bus Date to PDD'!L62</f>
        <v>4.7300000000000002E-2</v>
      </c>
    </row>
    <row r="62" spans="1:5" x14ac:dyDescent="0.25">
      <c r="A62" s="15">
        <f>'[1]Jumbo Bus Date to PDD'!H63</f>
        <v>46081</v>
      </c>
      <c r="B62" s="17">
        <f ca="1">'[1]Jumbo Bus Date to PDD'!I63</f>
        <v>3.8199999999999998E-2</v>
      </c>
      <c r="C62" s="47">
        <f ca="1">'[1]Jumbo Bus Date to PDD'!J63</f>
        <v>4.1700000000000001E-2</v>
      </c>
      <c r="D62" s="47">
        <f ca="1">'[1]Jumbo Bus Date to PDD'!K63</f>
        <v>4.4400000000000002E-2</v>
      </c>
      <c r="E62" s="5">
        <f ca="1">'[1]Jumbo Bus Date to PDD'!L63</f>
        <v>4.7300000000000002E-2</v>
      </c>
    </row>
    <row r="63" spans="1:5" x14ac:dyDescent="0.25">
      <c r="A63" s="15">
        <f>'[1]Jumbo Bus Date to PDD'!H64</f>
        <v>46082</v>
      </c>
      <c r="B63" s="17">
        <f ca="1">'[1]Jumbo Bus Date to PDD'!I64</f>
        <v>3.8199999999999998E-2</v>
      </c>
      <c r="C63" s="47">
        <f ca="1">'[1]Jumbo Bus Date to PDD'!J64</f>
        <v>4.1700000000000001E-2</v>
      </c>
      <c r="D63" s="47">
        <f ca="1">'[1]Jumbo Bus Date to PDD'!K64</f>
        <v>4.4400000000000002E-2</v>
      </c>
      <c r="E63" s="5">
        <f ca="1">'[1]Jumbo Bus Date to PDD'!L64</f>
        <v>4.7300000000000002E-2</v>
      </c>
    </row>
    <row r="64" spans="1:5" x14ac:dyDescent="0.25">
      <c r="A64" s="15">
        <f>'[1]Jumbo Bus Date to PDD'!H65</f>
        <v>46083</v>
      </c>
      <c r="B64" s="17">
        <f ca="1">'[1]Jumbo Bus Date to PDD'!I65</f>
        <v>3.8199999999999998E-2</v>
      </c>
      <c r="C64" s="47">
        <f ca="1">'[1]Jumbo Bus Date to PDD'!J65</f>
        <v>4.1700000000000001E-2</v>
      </c>
      <c r="D64" s="47">
        <f ca="1">'[1]Jumbo Bus Date to PDD'!K65</f>
        <v>4.4400000000000002E-2</v>
      </c>
      <c r="E64" s="5">
        <f ca="1">'[1]Jumbo Bus Date to PDD'!L65</f>
        <v>4.7300000000000002E-2</v>
      </c>
    </row>
    <row r="65" spans="1:5" x14ac:dyDescent="0.25">
      <c r="A65" s="15">
        <f>'[1]Jumbo Bus Date to PDD'!H66</f>
        <v>46084</v>
      </c>
      <c r="B65" s="17">
        <f ca="1">'[1]Jumbo Bus Date to PDD'!I66</f>
        <v>3.9300000000000002E-2</v>
      </c>
      <c r="C65" s="47">
        <f ca="1">'[1]Jumbo Bus Date to PDD'!J66</f>
        <v>4.2700000000000002E-2</v>
      </c>
      <c r="D65" s="47">
        <f ca="1">'[1]Jumbo Bus Date to PDD'!K66</f>
        <v>4.53E-2</v>
      </c>
      <c r="E65" s="5">
        <f ca="1">'[1]Jumbo Bus Date to PDD'!L66</f>
        <v>4.8099999999999997E-2</v>
      </c>
    </row>
    <row r="66" spans="1:5" x14ac:dyDescent="0.25">
      <c r="A66" s="15">
        <f>'[1]Jumbo Bus Date to PDD'!H67</f>
        <v>46085</v>
      </c>
      <c r="B66" s="17">
        <f ca="1">'[1]Jumbo Bus Date to PDD'!I67</f>
        <v>3.9399999999999998E-2</v>
      </c>
      <c r="C66" s="47">
        <f ca="1">'[1]Jumbo Bus Date to PDD'!J67</f>
        <v>4.2799999999999998E-2</v>
      </c>
      <c r="D66" s="47">
        <f ca="1">'[1]Jumbo Bus Date to PDD'!K67</f>
        <v>4.5400000000000003E-2</v>
      </c>
      <c r="E66" s="5">
        <f ca="1">'[1]Jumbo Bus Date to PDD'!L67</f>
        <v>4.82E-2</v>
      </c>
    </row>
    <row r="67" spans="1:5" x14ac:dyDescent="0.25">
      <c r="A67" s="15">
        <f>'[1]Jumbo Bus Date to PDD'!H68</f>
        <v>46086</v>
      </c>
      <c r="B67" s="17">
        <f ca="1">'[1]Jumbo Bus Date to PDD'!I68</f>
        <v>3.95E-2</v>
      </c>
      <c r="C67" s="47">
        <f ca="1">'[1]Jumbo Bus Date to PDD'!J68</f>
        <v>4.2799999999999998E-2</v>
      </c>
      <c r="D67" s="47">
        <f ca="1">'[1]Jumbo Bus Date to PDD'!K68</f>
        <v>4.5400000000000003E-2</v>
      </c>
      <c r="E67" s="5">
        <f ca="1">'[1]Jumbo Bus Date to PDD'!L68</f>
        <v>4.8099999999999997E-2</v>
      </c>
    </row>
    <row r="68" spans="1:5" x14ac:dyDescent="0.25">
      <c r="A68" s="15">
        <f>'[1]Jumbo Bus Date to PDD'!H69</f>
        <v>46087</v>
      </c>
      <c r="B68" s="17">
        <f ca="1">'[1]Jumbo Bus Date to PDD'!I69</f>
        <v>0.04</v>
      </c>
      <c r="C68" s="47">
        <f ca="1">'[1]Jumbo Bus Date to PDD'!J69</f>
        <v>4.3299999999999998E-2</v>
      </c>
      <c r="D68" s="47">
        <f ca="1">'[1]Jumbo Bus Date to PDD'!K69</f>
        <v>4.5900000000000003E-2</v>
      </c>
      <c r="E68" s="5">
        <f ca="1">'[1]Jumbo Bus Date to PDD'!L69</f>
        <v>4.8599999999999997E-2</v>
      </c>
    </row>
    <row r="69" spans="1:5" x14ac:dyDescent="0.25">
      <c r="A69" s="15">
        <f>'[1]Jumbo Bus Date to PDD'!H70</f>
        <v>46088</v>
      </c>
      <c r="B69" s="17">
        <f ca="1">'[1]Jumbo Bus Date to PDD'!I70</f>
        <v>4.02E-2</v>
      </c>
      <c r="C69" s="47">
        <f ca="1">'[1]Jumbo Bus Date to PDD'!J70</f>
        <v>4.36E-2</v>
      </c>
      <c r="D69" s="47">
        <f ca="1">'[1]Jumbo Bus Date to PDD'!K70</f>
        <v>4.6199999999999998E-2</v>
      </c>
      <c r="E69" s="5">
        <f ca="1">'[1]Jumbo Bus Date to PDD'!L70</f>
        <v>4.8899999999999999E-2</v>
      </c>
    </row>
    <row r="70" spans="1:5" x14ac:dyDescent="0.25">
      <c r="A70" s="15">
        <f>'[1]Jumbo Bus Date to PDD'!H71</f>
        <v>46089</v>
      </c>
      <c r="B70" s="17">
        <f ca="1">'[1]Jumbo Bus Date to PDD'!I71</f>
        <v>4.02E-2</v>
      </c>
      <c r="C70" s="47">
        <f ca="1">'[1]Jumbo Bus Date to PDD'!J71</f>
        <v>4.36E-2</v>
      </c>
      <c r="D70" s="47">
        <f ca="1">'[1]Jumbo Bus Date to PDD'!K71</f>
        <v>4.6199999999999998E-2</v>
      </c>
      <c r="E70" s="5">
        <f ca="1">'[1]Jumbo Bus Date to PDD'!L71</f>
        <v>4.8899999999999999E-2</v>
      </c>
    </row>
    <row r="71" spans="1:5" x14ac:dyDescent="0.25">
      <c r="A71" s="15">
        <f>'[1]Jumbo Bus Date to PDD'!H72</f>
        <v>46090</v>
      </c>
      <c r="B71" s="17">
        <f ca="1">'[1]Jumbo Bus Date to PDD'!I72</f>
        <v>4.02E-2</v>
      </c>
      <c r="C71" s="47">
        <f ca="1">'[1]Jumbo Bus Date to PDD'!J72</f>
        <v>4.36E-2</v>
      </c>
      <c r="D71" s="47">
        <f ca="1">'[1]Jumbo Bus Date to PDD'!K72</f>
        <v>4.6199999999999998E-2</v>
      </c>
      <c r="E71" s="5">
        <f ca="1">'[1]Jumbo Bus Date to PDD'!L72</f>
        <v>4.8899999999999999E-2</v>
      </c>
    </row>
    <row r="72" spans="1:5" x14ac:dyDescent="0.25">
      <c r="A72" s="15">
        <f>'[1]Jumbo Bus Date to PDD'!H73</f>
        <v>46091</v>
      </c>
      <c r="B72" s="17">
        <f ca="1">'[1]Jumbo Bus Date to PDD'!I73</f>
        <v>0.04</v>
      </c>
      <c r="C72" s="47">
        <f ca="1">'[1]Jumbo Bus Date to PDD'!J73</f>
        <v>4.3299999999999998E-2</v>
      </c>
      <c r="D72" s="47">
        <f ca="1">'[1]Jumbo Bus Date to PDD'!K73</f>
        <v>4.58E-2</v>
      </c>
      <c r="E72" s="5">
        <f ca="1">'[1]Jumbo Bus Date to PDD'!L73</f>
        <v>4.8500000000000001E-2</v>
      </c>
    </row>
    <row r="73" spans="1:5" x14ac:dyDescent="0.25">
      <c r="A73" s="15">
        <f>'[1]Jumbo Bus Date to PDD'!H74</f>
        <v>46092</v>
      </c>
      <c r="B73" s="17">
        <f ca="1">'[1]Jumbo Bus Date to PDD'!I74</f>
        <v>4.0300000000000002E-2</v>
      </c>
      <c r="C73" s="47">
        <f ca="1">'[1]Jumbo Bus Date to PDD'!J74</f>
        <v>4.3700000000000003E-2</v>
      </c>
      <c r="D73" s="47">
        <f ca="1">'[1]Jumbo Bus Date to PDD'!K74</f>
        <v>4.6300000000000001E-2</v>
      </c>
      <c r="E73" s="5">
        <f ca="1">'[1]Jumbo Bus Date to PDD'!L74</f>
        <v>4.9099999999999998E-2</v>
      </c>
    </row>
    <row r="74" spans="1:5" x14ac:dyDescent="0.25">
      <c r="A74" s="15">
        <f>'[1]Jumbo Bus Date to PDD'!H75</f>
        <v>46093</v>
      </c>
      <c r="B74" s="17">
        <f ca="1">'[1]Jumbo Bus Date to PDD'!I75</f>
        <v>4.1099999999999998E-2</v>
      </c>
      <c r="C74" s="47">
        <f ca="1">'[1]Jumbo Bus Date to PDD'!J75</f>
        <v>4.4600000000000001E-2</v>
      </c>
      <c r="D74" s="47">
        <f ca="1">'[1]Jumbo Bus Date to PDD'!K75</f>
        <v>4.7300000000000002E-2</v>
      </c>
      <c r="E74" s="5">
        <f ca="1">'[1]Jumbo Bus Date to PDD'!L75</f>
        <v>5.0099999999999999E-2</v>
      </c>
    </row>
    <row r="75" spans="1:5" x14ac:dyDescent="0.25">
      <c r="A75" s="15">
        <f>'[1]Jumbo Bus Date to PDD'!H76</f>
        <v>46094</v>
      </c>
      <c r="B75" s="17">
        <f ca="1">'[1]Jumbo Bus Date to PDD'!I76</f>
        <v>4.2200000000000001E-2</v>
      </c>
      <c r="C75" s="47">
        <f ca="1">'[1]Jumbo Bus Date to PDD'!J76</f>
        <v>4.5400000000000003E-2</v>
      </c>
      <c r="D75" s="47">
        <f ca="1">'[1]Jumbo Bus Date to PDD'!K76</f>
        <v>4.8000000000000001E-2</v>
      </c>
      <c r="E75" s="5">
        <f ca="1">'[1]Jumbo Bus Date to PDD'!L76</f>
        <v>5.0700000000000002E-2</v>
      </c>
    </row>
    <row r="76" spans="1:5" x14ac:dyDescent="0.25">
      <c r="A76" s="15">
        <f>'[1]Jumbo Bus Date to PDD'!H77</f>
        <v>46095</v>
      </c>
      <c r="B76" s="17">
        <f ca="1">'[1]Jumbo Bus Date to PDD'!I77</f>
        <v>4.2500000000000003E-2</v>
      </c>
      <c r="C76" s="47">
        <f ca="1">'[1]Jumbo Bus Date to PDD'!J77</f>
        <v>4.58E-2</v>
      </c>
      <c r="D76" s="47">
        <f ca="1">'[1]Jumbo Bus Date to PDD'!K77</f>
        <v>4.8399999999999999E-2</v>
      </c>
      <c r="E76" s="5">
        <f ca="1">'[1]Jumbo Bus Date to PDD'!L77</f>
        <v>5.11E-2</v>
      </c>
    </row>
    <row r="77" spans="1:5" x14ac:dyDescent="0.25">
      <c r="A77" s="15">
        <f>'[1]Jumbo Bus Date to PDD'!H78</f>
        <v>46096</v>
      </c>
      <c r="B77" s="17">
        <f ca="1">'[1]Jumbo Bus Date to PDD'!I78</f>
        <v>4.2500000000000003E-2</v>
      </c>
      <c r="C77" s="47">
        <f ca="1">'[1]Jumbo Bus Date to PDD'!J78</f>
        <v>4.58E-2</v>
      </c>
      <c r="D77" s="47">
        <f ca="1">'[1]Jumbo Bus Date to PDD'!K78</f>
        <v>4.8399999999999999E-2</v>
      </c>
      <c r="E77" s="5">
        <f ca="1">'[1]Jumbo Bus Date to PDD'!L78</f>
        <v>5.11E-2</v>
      </c>
    </row>
    <row r="78" spans="1:5" x14ac:dyDescent="0.25">
      <c r="A78" s="15">
        <f>'[1]Jumbo Bus Date to PDD'!H79</f>
        <v>46097</v>
      </c>
      <c r="B78" s="17">
        <f ca="1">'[1]Jumbo Bus Date to PDD'!I79</f>
        <v>4.2500000000000003E-2</v>
      </c>
      <c r="C78" s="47">
        <f ca="1">'[1]Jumbo Bus Date to PDD'!J79</f>
        <v>4.58E-2</v>
      </c>
      <c r="D78" s="47">
        <f ca="1">'[1]Jumbo Bus Date to PDD'!K79</f>
        <v>4.8399999999999999E-2</v>
      </c>
      <c r="E78" s="5">
        <f ca="1">'[1]Jumbo Bus Date to PDD'!L79</f>
        <v>5.11E-2</v>
      </c>
    </row>
    <row r="79" spans="1:5" x14ac:dyDescent="0.25">
      <c r="A79" s="15">
        <f>'[1]Jumbo Bus Date to PDD'!H80</f>
        <v>46098</v>
      </c>
      <c r="B79" s="17">
        <f ca="1">'[1]Jumbo Bus Date to PDD'!I80</f>
        <v>4.2000000000000003E-2</v>
      </c>
      <c r="C79" s="47">
        <f ca="1">'[1]Jumbo Bus Date to PDD'!J80</f>
        <v>4.5199999999999997E-2</v>
      </c>
      <c r="D79" s="47">
        <f ca="1">'[1]Jumbo Bus Date to PDD'!K80</f>
        <v>4.7800000000000002E-2</v>
      </c>
      <c r="E79" s="5">
        <f ca="1">'[1]Jumbo Bus Date to PDD'!L80</f>
        <v>5.0500000000000003E-2</v>
      </c>
    </row>
    <row r="80" spans="1:5" x14ac:dyDescent="0.25">
      <c r="A80" s="15">
        <f>'[1]Jumbo Bus Date to PDD'!H81</f>
        <v>46099</v>
      </c>
      <c r="B80" s="17">
        <f ca="1">'[1]Jumbo Bus Date to PDD'!I81</f>
        <v>4.1599999999999998E-2</v>
      </c>
      <c r="C80" s="47">
        <f ca="1">'[1]Jumbo Bus Date to PDD'!J81</f>
        <v>4.48E-2</v>
      </c>
      <c r="D80" s="47">
        <f ca="1">'[1]Jumbo Bus Date to PDD'!K81</f>
        <v>4.7399999999999998E-2</v>
      </c>
      <c r="E80" s="5">
        <f ca="1">'[1]Jumbo Bus Date to PDD'!L81</f>
        <v>0.05</v>
      </c>
    </row>
    <row r="81" spans="1:5" x14ac:dyDescent="0.25">
      <c r="A81" s="15">
        <f>'[1]Jumbo Bus Date to PDD'!H82</f>
        <v>46100</v>
      </c>
      <c r="B81" s="17">
        <f ca="1">'[1]Jumbo Bus Date to PDD'!I82</f>
        <v>4.2299999999999997E-2</v>
      </c>
      <c r="C81" s="47">
        <f ca="1">'[1]Jumbo Bus Date to PDD'!J82</f>
        <v>4.5400000000000003E-2</v>
      </c>
      <c r="D81" s="47">
        <f ca="1">'[1]Jumbo Bus Date to PDD'!K82</f>
        <v>4.7800000000000002E-2</v>
      </c>
      <c r="E81" s="5">
        <f ca="1">'[1]Jumbo Bus Date to PDD'!L82</f>
        <v>5.04E-2</v>
      </c>
    </row>
    <row r="82" spans="1:5" x14ac:dyDescent="0.25">
      <c r="A82" s="15">
        <f>'[1]Jumbo Bus Date to PDD'!H83</f>
        <v>46101</v>
      </c>
      <c r="B82" s="17">
        <f ca="1">'[1]Jumbo Bus Date to PDD'!I83</f>
        <v>4.24E-2</v>
      </c>
      <c r="C82" s="47">
        <f ca="1">'[1]Jumbo Bus Date to PDD'!J83</f>
        <v>4.5400000000000003E-2</v>
      </c>
      <c r="D82" s="47">
        <f ca="1">'[1]Jumbo Bus Date to PDD'!K83</f>
        <v>4.7699999999999999E-2</v>
      </c>
      <c r="E82" s="5">
        <f ca="1">'[1]Jumbo Bus Date to PDD'!L83</f>
        <v>5.0200000000000002E-2</v>
      </c>
    </row>
    <row r="83" spans="1:5" x14ac:dyDescent="0.25">
      <c r="A83" s="15">
        <f>'[1]Jumbo Bus Date to PDD'!H84</f>
        <v>46102</v>
      </c>
      <c r="B83" s="17">
        <f ca="1">'[1]Jumbo Bus Date to PDD'!I84</f>
        <v>4.3400000000000001E-2</v>
      </c>
      <c r="C83" s="47">
        <f ca="1">'[1]Jumbo Bus Date to PDD'!J84</f>
        <v>4.65E-2</v>
      </c>
      <c r="D83" s="47">
        <f ca="1">'[1]Jumbo Bus Date to PDD'!K84</f>
        <v>4.9000000000000002E-2</v>
      </c>
      <c r="E83" s="5">
        <f ca="1">'[1]Jumbo Bus Date to PDD'!L84</f>
        <v>5.1499999999999997E-2</v>
      </c>
    </row>
    <row r="84" spans="1:5" x14ac:dyDescent="0.25">
      <c r="A84" s="15">
        <f>'[1]Jumbo Bus Date to PDD'!H85</f>
        <v>46103</v>
      </c>
      <c r="B84" s="17">
        <f ca="1">'[1]Jumbo Bus Date to PDD'!I85</f>
        <v>4.3400000000000001E-2</v>
      </c>
      <c r="C84" s="47">
        <f ca="1">'[1]Jumbo Bus Date to PDD'!J85</f>
        <v>4.65E-2</v>
      </c>
      <c r="D84" s="47">
        <f ca="1">'[1]Jumbo Bus Date to PDD'!K85</f>
        <v>4.9000000000000002E-2</v>
      </c>
      <c r="E84" s="5">
        <f ca="1">'[1]Jumbo Bus Date to PDD'!L85</f>
        <v>5.1499999999999997E-2</v>
      </c>
    </row>
    <row r="85" spans="1:5" x14ac:dyDescent="0.25">
      <c r="A85" s="15">
        <f>'[1]Jumbo Bus Date to PDD'!H86</f>
        <v>46104</v>
      </c>
      <c r="B85" s="17">
        <f ca="1">'[1]Jumbo Bus Date to PDD'!I86</f>
        <v>4.3400000000000001E-2</v>
      </c>
      <c r="C85" s="47">
        <f ca="1">'[1]Jumbo Bus Date to PDD'!J86</f>
        <v>4.65E-2</v>
      </c>
      <c r="D85" s="47">
        <f ca="1">'[1]Jumbo Bus Date to PDD'!K86</f>
        <v>4.9000000000000002E-2</v>
      </c>
      <c r="E85" s="5">
        <f ca="1">'[1]Jumbo Bus Date to PDD'!L86</f>
        <v>5.1499999999999997E-2</v>
      </c>
    </row>
    <row r="86" spans="1:5" x14ac:dyDescent="0.25">
      <c r="A86" s="15">
        <f>'[1]Jumbo Bus Date to PDD'!H87</f>
        <v>46105</v>
      </c>
      <c r="B86" s="17">
        <f ca="1">'[1]Jumbo Bus Date to PDD'!I87</f>
        <v>4.2900000000000001E-2</v>
      </c>
      <c r="C86" s="47">
        <f ca="1">'[1]Jumbo Bus Date to PDD'!J87</f>
        <v>4.5999999999999999E-2</v>
      </c>
      <c r="D86" s="47">
        <f ca="1">'[1]Jumbo Bus Date to PDD'!K87</f>
        <v>4.8399999999999999E-2</v>
      </c>
      <c r="E86" s="5">
        <f ca="1">'[1]Jumbo Bus Date to PDD'!L87</f>
        <v>5.0900000000000001E-2</v>
      </c>
    </row>
    <row r="87" spans="1:5" x14ac:dyDescent="0.25">
      <c r="A87" s="15">
        <f>'[1]Jumbo Bus Date to PDD'!H88</f>
        <v>46106</v>
      </c>
      <c r="B87" s="17">
        <f ca="1">'[1]Jumbo Bus Date to PDD'!I88</f>
        <v>4.3299999999999998E-2</v>
      </c>
      <c r="C87" s="47">
        <f ca="1">'[1]Jumbo Bus Date to PDD'!J88</f>
        <v>4.6399999999999997E-2</v>
      </c>
      <c r="D87" s="47">
        <f ca="1">'[1]Jumbo Bus Date to PDD'!K88</f>
        <v>4.87E-2</v>
      </c>
      <c r="E87" s="5">
        <f ca="1">'[1]Jumbo Bus Date to PDD'!L88</f>
        <v>5.1200000000000002E-2</v>
      </c>
    </row>
    <row r="88" spans="1:5" x14ac:dyDescent="0.25">
      <c r="A88" s="15">
        <f>'[1]Jumbo Bus Date to PDD'!H89</f>
        <v>46107</v>
      </c>
      <c r="B88" s="17">
        <f ca="1">'[1]Jumbo Bus Date to PDD'!I89</f>
        <v>4.2799999999999998E-2</v>
      </c>
      <c r="C88" s="47">
        <f ca="1">'[1]Jumbo Bus Date to PDD'!J89</f>
        <v>4.5699999999999998E-2</v>
      </c>
      <c r="D88" s="47">
        <f ca="1">'[1]Jumbo Bus Date to PDD'!K89</f>
        <v>4.8099999999999997E-2</v>
      </c>
      <c r="E88" s="5">
        <f ca="1">'[1]Jumbo Bus Date to PDD'!L89</f>
        <v>5.0599999999999999E-2</v>
      </c>
    </row>
    <row r="89" spans="1:5" x14ac:dyDescent="0.25">
      <c r="A89" s="15">
        <f>'[1]Jumbo Bus Date to PDD'!H90</f>
        <v>46108</v>
      </c>
      <c r="B89" s="17">
        <f ca="1">'[1]Jumbo Bus Date to PDD'!I90</f>
        <v>4.3999999999999997E-2</v>
      </c>
      <c r="C89" s="47">
        <f ca="1">'[1]Jumbo Bus Date to PDD'!J90</f>
        <v>4.6899999999999997E-2</v>
      </c>
      <c r="D89" s="47">
        <f ca="1">'[1]Jumbo Bus Date to PDD'!K90</f>
        <v>4.9099999999999998E-2</v>
      </c>
      <c r="E89" s="5">
        <f ca="1">'[1]Jumbo Bus Date to PDD'!L90</f>
        <v>5.1499999999999997E-2</v>
      </c>
    </row>
    <row r="90" spans="1:5" x14ac:dyDescent="0.25">
      <c r="A90" s="15">
        <f>'[1]Jumbo Bus Date to PDD'!H91</f>
        <v>46109</v>
      </c>
      <c r="B90" s="17">
        <f ca="1">'[1]Jumbo Bus Date to PDD'!I91</f>
        <v>4.3999999999999997E-2</v>
      </c>
      <c r="C90" s="47">
        <f ca="1">'[1]Jumbo Bus Date to PDD'!J91</f>
        <v>4.7100000000000003E-2</v>
      </c>
      <c r="D90" s="47">
        <f ca="1">'[1]Jumbo Bus Date to PDD'!K91</f>
        <v>4.9500000000000002E-2</v>
      </c>
      <c r="E90" s="5">
        <f ca="1">'[1]Jumbo Bus Date to PDD'!L91</f>
        <v>5.1900000000000002E-2</v>
      </c>
    </row>
    <row r="91" spans="1:5" x14ac:dyDescent="0.25">
      <c r="A91" s="15">
        <f>'[1]Jumbo Bus Date to PDD'!H92</f>
        <v>46110</v>
      </c>
      <c r="B91" s="17">
        <f ca="1">'[1]Jumbo Bus Date to PDD'!I92</f>
        <v>4.3999999999999997E-2</v>
      </c>
      <c r="C91" s="47">
        <f ca="1">'[1]Jumbo Bus Date to PDD'!J92</f>
        <v>4.7100000000000003E-2</v>
      </c>
      <c r="D91" s="47">
        <f ca="1">'[1]Jumbo Bus Date to PDD'!K92</f>
        <v>4.9500000000000002E-2</v>
      </c>
      <c r="E91" s="5">
        <f ca="1">'[1]Jumbo Bus Date to PDD'!L92</f>
        <v>5.1900000000000002E-2</v>
      </c>
    </row>
    <row r="92" spans="1:5" x14ac:dyDescent="0.25">
      <c r="A92" s="15">
        <f>'[1]Jumbo Bus Date to PDD'!H93</f>
        <v>46111</v>
      </c>
      <c r="B92" s="17">
        <f ca="1">'[1]Jumbo Bus Date to PDD'!I93</f>
        <v>4.3999999999999997E-2</v>
      </c>
      <c r="C92" s="47">
        <f ca="1">'[1]Jumbo Bus Date to PDD'!J93</f>
        <v>4.7100000000000003E-2</v>
      </c>
      <c r="D92" s="47">
        <f ca="1">'[1]Jumbo Bus Date to PDD'!K93</f>
        <v>4.9500000000000002E-2</v>
      </c>
      <c r="E92" s="5">
        <f ca="1">'[1]Jumbo Bus Date to PDD'!L93</f>
        <v>5.1900000000000002E-2</v>
      </c>
    </row>
    <row r="93" spans="1:5" x14ac:dyDescent="0.25">
      <c r="A93" s="15">
        <f>'[1]Jumbo Bus Date to PDD'!H94</f>
        <v>46112</v>
      </c>
      <c r="B93" s="17">
        <f ca="1">'[1]Jumbo Bus Date to PDD'!I94</f>
        <v>4.3299999999999998E-2</v>
      </c>
      <c r="C93" s="47">
        <f ca="1">'[1]Jumbo Bus Date to PDD'!J94</f>
        <v>4.6399999999999997E-2</v>
      </c>
      <c r="D93" s="47">
        <f ca="1">'[1]Jumbo Bus Date to PDD'!K94</f>
        <v>4.87E-2</v>
      </c>
      <c r="E93" s="5">
        <f ca="1">'[1]Jumbo Bus Date to PDD'!L94</f>
        <v>5.1200000000000002E-2</v>
      </c>
    </row>
    <row r="94" spans="1:5" x14ac:dyDescent="0.25">
      <c r="A94" s="15">
        <f>'[1]Jumbo Bus Date to PDD'!H95</f>
        <v>46113</v>
      </c>
      <c r="B94" s="17">
        <f ca="1">'[1]Jumbo Bus Date to PDD'!I95</f>
        <v>4.3099999999999999E-2</v>
      </c>
      <c r="C94" s="47">
        <f ca="1">'[1]Jumbo Bus Date to PDD'!J95</f>
        <v>4.6199999999999998E-2</v>
      </c>
      <c r="D94" s="47">
        <f ca="1">'[1]Jumbo Bus Date to PDD'!K95</f>
        <v>4.8599999999999997E-2</v>
      </c>
      <c r="E94" s="5">
        <f ca="1">'[1]Jumbo Bus Date to PDD'!L95</f>
        <v>5.0999999999999997E-2</v>
      </c>
    </row>
    <row r="95" spans="1:5" x14ac:dyDescent="0.25">
      <c r="A95" s="15">
        <f>'[1]Jumbo Bus Date to PDD'!H96</f>
        <v>46114</v>
      </c>
      <c r="B95" s="17">
        <f ca="1">'[1]Jumbo Bus Date to PDD'!I96</f>
        <v>4.2999999999999997E-2</v>
      </c>
      <c r="C95" s="47">
        <f ca="1">'[1]Jumbo Bus Date to PDD'!J96</f>
        <v>4.6100000000000002E-2</v>
      </c>
      <c r="D95" s="47">
        <f ca="1">'[1]Jumbo Bus Date to PDD'!K96</f>
        <v>4.8399999999999999E-2</v>
      </c>
      <c r="E95" s="5">
        <f ca="1">'[1]Jumbo Bus Date to PDD'!L96</f>
        <v>5.0999999999999997E-2</v>
      </c>
    </row>
    <row r="96" spans="1:5" x14ac:dyDescent="0.25">
      <c r="A96" s="15">
        <f>'[1]Jumbo Bus Date to PDD'!H97</f>
        <v>46115</v>
      </c>
      <c r="B96" s="17">
        <f ca="1">'[1]Jumbo Bus Date to PDD'!I97</f>
        <v>4.2700000000000002E-2</v>
      </c>
      <c r="C96" s="47">
        <f ca="1">'[1]Jumbo Bus Date to PDD'!J97</f>
        <v>4.5699999999999998E-2</v>
      </c>
      <c r="D96" s="47">
        <f ca="1">'[1]Jumbo Bus Date to PDD'!K97</f>
        <v>4.8099999999999997E-2</v>
      </c>
      <c r="E96" s="5">
        <f ca="1">'[1]Jumbo Bus Date to PDD'!L97</f>
        <v>5.0599999999999999E-2</v>
      </c>
    </row>
    <row r="97" spans="1:5" x14ac:dyDescent="0.25">
      <c r="A97" s="15">
        <f>'[1]Jumbo Bus Date to PDD'!H98</f>
        <v>46116</v>
      </c>
      <c r="B97" s="17">
        <f ca="1">'[1]Jumbo Bus Date to PDD'!I98</f>
        <v>4.2700000000000002E-2</v>
      </c>
      <c r="C97" s="47">
        <f ca="1">'[1]Jumbo Bus Date to PDD'!J98</f>
        <v>4.5699999999999998E-2</v>
      </c>
      <c r="D97" s="47">
        <f ca="1">'[1]Jumbo Bus Date to PDD'!K98</f>
        <v>4.8099999999999997E-2</v>
      </c>
      <c r="E97" s="5">
        <f ca="1">'[1]Jumbo Bus Date to PDD'!L98</f>
        <v>5.0599999999999999E-2</v>
      </c>
    </row>
    <row r="98" spans="1:5" x14ac:dyDescent="0.25">
      <c r="A98" s="15">
        <f>'[1]Jumbo Bus Date to PDD'!H99</f>
        <v>46117</v>
      </c>
      <c r="B98" s="17">
        <f ca="1">'[1]Jumbo Bus Date to PDD'!I99</f>
        <v>4.2700000000000002E-2</v>
      </c>
      <c r="C98" s="47">
        <f ca="1">'[1]Jumbo Bus Date to PDD'!J99</f>
        <v>4.5699999999999998E-2</v>
      </c>
      <c r="D98" s="47">
        <f ca="1">'[1]Jumbo Bus Date to PDD'!K99</f>
        <v>4.8099999999999997E-2</v>
      </c>
      <c r="E98" s="5">
        <f ca="1">'[1]Jumbo Bus Date to PDD'!L99</f>
        <v>5.0599999999999999E-2</v>
      </c>
    </row>
    <row r="99" spans="1:5" x14ac:dyDescent="0.25">
      <c r="A99" s="15">
        <f>'[1]Jumbo Bus Date to PDD'!H100</f>
        <v>46118</v>
      </c>
      <c r="B99" s="17">
        <f ca="1">'[1]Jumbo Bus Date to PDD'!I100</f>
        <v>4.2700000000000002E-2</v>
      </c>
      <c r="C99" s="47">
        <f ca="1">'[1]Jumbo Bus Date to PDD'!J100</f>
        <v>4.5699999999999998E-2</v>
      </c>
      <c r="D99" s="47">
        <f ca="1">'[1]Jumbo Bus Date to PDD'!K100</f>
        <v>4.8099999999999997E-2</v>
      </c>
      <c r="E99" s="5">
        <f ca="1">'[1]Jumbo Bus Date to PDD'!L100</f>
        <v>5.0599999999999999E-2</v>
      </c>
    </row>
    <row r="100" spans="1:5" x14ac:dyDescent="0.25">
      <c r="A100" s="15">
        <f>'[1]Jumbo Bus Date to PDD'!H101</f>
        <v>46119</v>
      </c>
      <c r="B100" s="17">
        <f ca="1">'[1]Jumbo Bus Date to PDD'!I101</f>
        <v>4.2999999999999997E-2</v>
      </c>
      <c r="C100" s="47">
        <f ca="1">'[1]Jumbo Bus Date to PDD'!J101</f>
        <v>4.5900000000000003E-2</v>
      </c>
      <c r="D100" s="47">
        <f ca="1">'[1]Jumbo Bus Date to PDD'!K101</f>
        <v>4.82E-2</v>
      </c>
      <c r="E100" s="5">
        <f ca="1">'[1]Jumbo Bus Date to PDD'!L101</f>
        <v>5.0700000000000002E-2</v>
      </c>
    </row>
    <row r="101" spans="1:5" x14ac:dyDescent="0.25">
      <c r="A101" s="15">
        <f>'[1]Jumbo Bus Date to PDD'!H102</f>
        <v>46120</v>
      </c>
      <c r="B101" s="17">
        <f ca="1">'[1]Jumbo Bus Date to PDD'!I102</f>
        <v>4.2700000000000002E-2</v>
      </c>
      <c r="C101" s="47">
        <f ca="1">'[1]Jumbo Bus Date to PDD'!J102</f>
        <v>4.5699999999999998E-2</v>
      </c>
      <c r="D101" s="47">
        <f ca="1">'[1]Jumbo Bus Date to PDD'!K102</f>
        <v>4.8099999999999997E-2</v>
      </c>
      <c r="E101" s="5">
        <f ca="1">'[1]Jumbo Bus Date to PDD'!L102</f>
        <v>5.0599999999999999E-2</v>
      </c>
    </row>
    <row r="102" spans="1:5" x14ac:dyDescent="0.25">
      <c r="A102" s="15">
        <f>'[1]Jumbo Bus Date to PDD'!H103</f>
        <v>46121</v>
      </c>
      <c r="B102" s="17">
        <f ca="1">'[1]Jumbo Bus Date to PDD'!I103</f>
        <v>4.2200000000000001E-2</v>
      </c>
      <c r="C102" s="47">
        <f ca="1">'[1]Jumbo Bus Date to PDD'!J103</f>
        <v>4.5199999999999997E-2</v>
      </c>
      <c r="D102" s="47">
        <f ca="1">'[1]Jumbo Bus Date to PDD'!K103</f>
        <v>4.7600000000000003E-2</v>
      </c>
      <c r="E102" s="5">
        <f ca="1">'[1]Jumbo Bus Date to PDD'!L103</f>
        <v>5.0099999999999999E-2</v>
      </c>
    </row>
    <row r="103" spans="1:5" x14ac:dyDescent="0.25">
      <c r="A103" s="15">
        <f>'[1]Jumbo Bus Date to PDD'!H104</f>
        <v>46122</v>
      </c>
      <c r="B103" s="17">
        <f ca="1">'[1]Jumbo Bus Date to PDD'!I104</f>
        <v>4.2099999999999999E-2</v>
      </c>
      <c r="C103" s="47">
        <f ca="1">'[1]Jumbo Bus Date to PDD'!J104</f>
        <v>4.5100000000000001E-2</v>
      </c>
      <c r="D103" s="47">
        <f ca="1">'[1]Jumbo Bus Date to PDD'!K104</f>
        <v>4.7600000000000003E-2</v>
      </c>
      <c r="E103" s="5">
        <f ca="1">'[1]Jumbo Bus Date to PDD'!L104</f>
        <v>5.0200000000000002E-2</v>
      </c>
    </row>
    <row r="104" spans="1:5" x14ac:dyDescent="0.25">
      <c r="A104" s="15">
        <f>'[1]Jumbo Bus Date to PDD'!H105</f>
        <v>46123</v>
      </c>
      <c r="B104" s="17">
        <f ca="1">'[1]Jumbo Bus Date to PDD'!I105</f>
        <v>4.2299999999999997E-2</v>
      </c>
      <c r="C104" s="47">
        <f ca="1">'[1]Jumbo Bus Date to PDD'!J105</f>
        <v>4.5400000000000003E-2</v>
      </c>
      <c r="D104" s="47">
        <f ca="1">'[1]Jumbo Bus Date to PDD'!K105</f>
        <v>4.7800000000000002E-2</v>
      </c>
      <c r="E104" s="5">
        <f ca="1">'[1]Jumbo Bus Date to PDD'!L105</f>
        <v>5.04E-2</v>
      </c>
    </row>
    <row r="105" spans="1:5" x14ac:dyDescent="0.25">
      <c r="A105" s="15">
        <f>'[1]Jumbo Bus Date to PDD'!H106</f>
        <v>46124</v>
      </c>
      <c r="B105" s="17">
        <f ca="1">'[1]Jumbo Bus Date to PDD'!I106</f>
        <v>4.2299999999999997E-2</v>
      </c>
      <c r="C105" s="47">
        <f ca="1">'[1]Jumbo Bus Date to PDD'!J106</f>
        <v>4.5400000000000003E-2</v>
      </c>
      <c r="D105" s="47">
        <f ca="1">'[1]Jumbo Bus Date to PDD'!K106</f>
        <v>4.7800000000000002E-2</v>
      </c>
      <c r="E105" s="5">
        <f ca="1">'[1]Jumbo Bus Date to PDD'!L106</f>
        <v>5.04E-2</v>
      </c>
    </row>
    <row r="106" spans="1:5" x14ac:dyDescent="0.25">
      <c r="A106" s="15">
        <f>'[1]Jumbo Bus Date to PDD'!H107</f>
        <v>46125</v>
      </c>
      <c r="B106" s="17">
        <f ca="1">'[1]Jumbo Bus Date to PDD'!I107</f>
        <v>4.2299999999999997E-2</v>
      </c>
      <c r="C106" s="47">
        <f ca="1">'[1]Jumbo Bus Date to PDD'!J107</f>
        <v>4.5400000000000003E-2</v>
      </c>
      <c r="D106" s="47">
        <f ca="1">'[1]Jumbo Bus Date to PDD'!K107</f>
        <v>4.7800000000000002E-2</v>
      </c>
      <c r="E106" s="5">
        <f ca="1">'[1]Jumbo Bus Date to PDD'!L107</f>
        <v>5.04E-2</v>
      </c>
    </row>
    <row r="107" spans="1:5" x14ac:dyDescent="0.25">
      <c r="A107" s="15">
        <f>'[1]Jumbo Bus Date to PDD'!H108</f>
        <v>46126</v>
      </c>
      <c r="B107" s="17">
        <f ca="1">'[1]Jumbo Bus Date to PDD'!I108</f>
        <v>4.2000000000000003E-2</v>
      </c>
      <c r="C107" s="47">
        <f ca="1">'[1]Jumbo Bus Date to PDD'!J108</f>
        <v>4.4999999999999998E-2</v>
      </c>
      <c r="D107" s="47">
        <f ca="1">'[1]Jumbo Bus Date to PDD'!K108</f>
        <v>4.7500000000000001E-2</v>
      </c>
      <c r="E107" s="5">
        <f ca="1">'[1]Jumbo Bus Date to PDD'!L108</f>
        <v>5.0099999999999999E-2</v>
      </c>
    </row>
    <row r="108" spans="1:5" x14ac:dyDescent="0.25">
      <c r="A108" s="15">
        <f>'[1]Jumbo Bus Date to PDD'!H109</f>
        <v>46127</v>
      </c>
      <c r="B108" s="17">
        <f ca="1">'[1]Jumbo Bus Date to PDD'!I109</f>
        <v>4.1399999999999999E-2</v>
      </c>
      <c r="C108" s="47">
        <f ca="1">'[1]Jumbo Bus Date to PDD'!J109</f>
        <v>4.4400000000000002E-2</v>
      </c>
      <c r="D108" s="47">
        <f ca="1">'[1]Jumbo Bus Date to PDD'!K109</f>
        <v>4.6800000000000001E-2</v>
      </c>
      <c r="E108" s="5">
        <f ca="1">'[1]Jumbo Bus Date to PDD'!L109</f>
        <v>4.9500000000000002E-2</v>
      </c>
    </row>
    <row r="109" spans="1:5" x14ac:dyDescent="0.25">
      <c r="A109" s="15">
        <f>'[1]Jumbo Bus Date to PDD'!H110</f>
        <v>46128</v>
      </c>
      <c r="B109" s="17">
        <f ca="1">'[1]Jumbo Bus Date to PDD'!I110</f>
        <v>4.1599999999999998E-2</v>
      </c>
      <c r="C109" s="47">
        <f ca="1">'[1]Jumbo Bus Date to PDD'!J110</f>
        <v>4.4600000000000001E-2</v>
      </c>
      <c r="D109" s="47">
        <f ca="1">'[1]Jumbo Bus Date to PDD'!K110</f>
        <v>4.7100000000000003E-2</v>
      </c>
      <c r="E109" s="5">
        <f ca="1">'[1]Jumbo Bus Date to PDD'!L110</f>
        <v>4.9700000000000001E-2</v>
      </c>
    </row>
    <row r="110" spans="1:5" x14ac:dyDescent="0.25">
      <c r="A110" s="15">
        <f>'[1]Jumbo Bus Date to PDD'!H111</f>
        <v>46129</v>
      </c>
      <c r="B110" s="17">
        <f ca="1">'[1]Jumbo Bus Date to PDD'!I111</f>
        <v>4.19E-2</v>
      </c>
      <c r="C110" s="47">
        <f ca="1">'[1]Jumbo Bus Date to PDD'!J111</f>
        <v>4.4900000000000002E-2</v>
      </c>
      <c r="D110" s="47">
        <f ca="1">'[1]Jumbo Bus Date to PDD'!K111</f>
        <v>4.7399999999999998E-2</v>
      </c>
      <c r="E110" s="5">
        <f ca="1">'[1]Jumbo Bus Date to PDD'!L111</f>
        <v>5.0099999999999999E-2</v>
      </c>
    </row>
    <row r="111" spans="1:5" x14ac:dyDescent="0.25">
      <c r="A111" s="15">
        <f>'[1]Jumbo Bus Date to PDD'!H112</f>
        <v>46130</v>
      </c>
      <c r="B111" s="17">
        <f ca="1">'[1]Jumbo Bus Date to PDD'!I112</f>
        <v>4.1099999999999998E-2</v>
      </c>
      <c r="C111" s="47">
        <f ca="1">'[1]Jumbo Bus Date to PDD'!J112</f>
        <v>4.4200000000000003E-2</v>
      </c>
      <c r="D111" s="47">
        <f ca="1">'[1]Jumbo Bus Date to PDD'!K112</f>
        <v>4.6699999999999998E-2</v>
      </c>
      <c r="E111" s="5">
        <f ca="1">'[1]Jumbo Bus Date to PDD'!L112</f>
        <v>4.9399999999999999E-2</v>
      </c>
    </row>
    <row r="112" spans="1:5" x14ac:dyDescent="0.25">
      <c r="A112" s="15">
        <f>'[1]Jumbo Bus Date to PDD'!H113</f>
        <v>46131</v>
      </c>
      <c r="B112" s="17">
        <f ca="1">'[1]Jumbo Bus Date to PDD'!I113</f>
        <v>4.1099999999999998E-2</v>
      </c>
      <c r="C112" s="47">
        <f ca="1">'[1]Jumbo Bus Date to PDD'!J113</f>
        <v>4.4200000000000003E-2</v>
      </c>
      <c r="D112" s="47">
        <f ca="1">'[1]Jumbo Bus Date to PDD'!K113</f>
        <v>4.6699999999999998E-2</v>
      </c>
      <c r="E112" s="5">
        <f ca="1">'[1]Jumbo Bus Date to PDD'!L113</f>
        <v>4.9399999999999999E-2</v>
      </c>
    </row>
    <row r="113" spans="1:5" x14ac:dyDescent="0.25">
      <c r="A113" s="15">
        <f>'[1]Jumbo Bus Date to PDD'!H114</f>
        <v>46132</v>
      </c>
      <c r="B113" s="17">
        <f ca="1">'[1]Jumbo Bus Date to PDD'!I114</f>
        <v>4.1099999999999998E-2</v>
      </c>
      <c r="C113" s="47">
        <f ca="1">'[1]Jumbo Bus Date to PDD'!J114</f>
        <v>4.4200000000000003E-2</v>
      </c>
      <c r="D113" s="47">
        <f ca="1">'[1]Jumbo Bus Date to PDD'!K114</f>
        <v>4.6699999999999998E-2</v>
      </c>
      <c r="E113" s="5">
        <f ca="1">'[1]Jumbo Bus Date to PDD'!L114</f>
        <v>4.9399999999999999E-2</v>
      </c>
    </row>
    <row r="114" spans="1:5" x14ac:dyDescent="0.25">
      <c r="A114" s="15">
        <f>'[1]Jumbo Bus Date to PDD'!H115</f>
        <v>46133</v>
      </c>
      <c r="B114" s="17">
        <f ca="1">'[1]Jumbo Bus Date to PDD'!I115</f>
        <v>4.1300000000000003E-2</v>
      </c>
      <c r="C114" s="47">
        <f ca="1">'[1]Jumbo Bus Date to PDD'!J115</f>
        <v>4.4400000000000002E-2</v>
      </c>
      <c r="D114" s="47">
        <f ca="1">'[1]Jumbo Bus Date to PDD'!K115</f>
        <v>4.6899999999999997E-2</v>
      </c>
      <c r="E114" s="5">
        <f ca="1">'[1]Jumbo Bus Date to PDD'!L115</f>
        <v>4.9500000000000002E-2</v>
      </c>
    </row>
    <row r="115" spans="1:5" x14ac:dyDescent="0.25">
      <c r="A115" s="15">
        <f>'[1]Jumbo Bus Date to PDD'!H116</f>
        <v>46134</v>
      </c>
      <c r="B115" s="17">
        <f ca="1">'[1]Jumbo Bus Date to PDD'!I116</f>
        <v>4.19E-2</v>
      </c>
      <c r="C115" s="47">
        <f ca="1">'[1]Jumbo Bus Date to PDD'!J116</f>
        <v>4.4900000000000002E-2</v>
      </c>
      <c r="D115" s="47">
        <f ca="1">'[1]Jumbo Bus Date to PDD'!K116</f>
        <v>4.7300000000000002E-2</v>
      </c>
      <c r="E115" s="5">
        <f ca="1">'[1]Jumbo Bus Date to PDD'!L116</f>
        <v>4.99E-2</v>
      </c>
    </row>
    <row r="116" spans="1:5" x14ac:dyDescent="0.25">
      <c r="A116" s="15">
        <f>'[1]Jumbo Bus Date to PDD'!H117</f>
        <v>46135</v>
      </c>
      <c r="B116" s="17">
        <f ca="1">'[1]Jumbo Bus Date to PDD'!I117</f>
        <v>4.1700000000000001E-2</v>
      </c>
      <c r="C116" s="47">
        <f ca="1">'[1]Jumbo Bus Date to PDD'!J117</f>
        <v>4.4699999999999997E-2</v>
      </c>
      <c r="D116" s="47">
        <f ca="1">'[1]Jumbo Bus Date to PDD'!K117</f>
        <v>4.7100000000000003E-2</v>
      </c>
      <c r="E116" s="5">
        <f ca="1">'[1]Jumbo Bus Date to PDD'!L117</f>
        <v>4.9799999999999997E-2</v>
      </c>
    </row>
    <row r="117" spans="1:5" x14ac:dyDescent="0.25">
      <c r="A117" s="15">
        <f>'[1]Jumbo Bus Date to PDD'!H118</f>
        <v>46136</v>
      </c>
      <c r="B117" s="17">
        <f ca="1">'[1]Jumbo Bus Date to PDD'!I118</f>
        <v>4.2000000000000003E-2</v>
      </c>
      <c r="C117" s="47">
        <f ca="1">'[1]Jumbo Bus Date to PDD'!J118</f>
        <v>4.4999999999999998E-2</v>
      </c>
      <c r="D117" s="47">
        <f ca="1">'[1]Jumbo Bus Date to PDD'!K118</f>
        <v>4.7399999999999998E-2</v>
      </c>
      <c r="E117" s="5">
        <f ca="1">'[1]Jumbo Bus Date to PDD'!L118</f>
        <v>0.05</v>
      </c>
    </row>
    <row r="118" spans="1:5" x14ac:dyDescent="0.25">
      <c r="A118" s="15">
        <f>'[1]Jumbo Bus Date to PDD'!H119</f>
        <v>46137</v>
      </c>
      <c r="B118" s="17">
        <f ca="1">'[1]Jumbo Bus Date to PDD'!I119</f>
        <v>4.1700000000000001E-2</v>
      </c>
      <c r="C118" s="47">
        <f ca="1">'[1]Jumbo Bus Date to PDD'!J119</f>
        <v>4.48E-2</v>
      </c>
      <c r="D118" s="47">
        <f ca="1">'[1]Jumbo Bus Date to PDD'!K119</f>
        <v>4.7199999999999999E-2</v>
      </c>
      <c r="E118" s="5">
        <f ca="1">'[1]Jumbo Bus Date to PDD'!L119</f>
        <v>4.99E-2</v>
      </c>
    </row>
    <row r="119" spans="1:5" x14ac:dyDescent="0.25">
      <c r="A119" s="15">
        <f>'[1]Jumbo Bus Date to PDD'!H120</f>
        <v>46138</v>
      </c>
      <c r="B119" s="17">
        <f ca="1">'[1]Jumbo Bus Date to PDD'!I120</f>
        <v>4.1700000000000001E-2</v>
      </c>
      <c r="C119" s="47">
        <f ca="1">'[1]Jumbo Bus Date to PDD'!J120</f>
        <v>4.48E-2</v>
      </c>
      <c r="D119" s="47">
        <f ca="1">'[1]Jumbo Bus Date to PDD'!K120</f>
        <v>4.7199999999999999E-2</v>
      </c>
      <c r="E119" s="5">
        <f ca="1">'[1]Jumbo Bus Date to PDD'!L120</f>
        <v>4.99E-2</v>
      </c>
    </row>
    <row r="120" spans="1:5" x14ac:dyDescent="0.25">
      <c r="A120" s="15">
        <f>'[1]Jumbo Bus Date to PDD'!H121</f>
        <v>46139</v>
      </c>
      <c r="B120" s="17">
        <f ca="1">'[1]Jumbo Bus Date to PDD'!I121</f>
        <v>4.1700000000000001E-2</v>
      </c>
      <c r="C120" s="47">
        <f ca="1">'[1]Jumbo Bus Date to PDD'!J121</f>
        <v>4.48E-2</v>
      </c>
      <c r="D120" s="47">
        <f ca="1">'[1]Jumbo Bus Date to PDD'!K121</f>
        <v>4.7199999999999999E-2</v>
      </c>
      <c r="E120" s="5">
        <f ca="1">'[1]Jumbo Bus Date to PDD'!L121</f>
        <v>4.99E-2</v>
      </c>
    </row>
    <row r="121" spans="1:5" x14ac:dyDescent="0.25">
      <c r="A121" s="15">
        <f>'[1]Jumbo Bus Date to PDD'!H122</f>
        <v>46140</v>
      </c>
      <c r="B121" s="17">
        <f ca="1">'[1]Jumbo Bus Date to PDD'!I122</f>
        <v>4.2000000000000003E-2</v>
      </c>
      <c r="C121" s="47">
        <f ca="1">'[1]Jumbo Bus Date to PDD'!J122</f>
        <v>4.5199999999999997E-2</v>
      </c>
      <c r="D121" s="47">
        <f ca="1">'[1]Jumbo Bus Date to PDD'!K122</f>
        <v>4.7699999999999999E-2</v>
      </c>
      <c r="E121" s="5">
        <f ca="1">'[1]Jumbo Bus Date to PDD'!L122</f>
        <v>5.0299999999999997E-2</v>
      </c>
    </row>
    <row r="122" spans="1:5" x14ac:dyDescent="0.25">
      <c r="A122" s="15">
        <f>'[1]Jumbo Bus Date to PDD'!H123</f>
        <v>46141</v>
      </c>
      <c r="B122" s="17">
        <f ca="1">'[1]Jumbo Bus Date to PDD'!I123</f>
        <v>4.2299999999999997E-2</v>
      </c>
      <c r="C122" s="47">
        <f ca="1">'[1]Jumbo Bus Date to PDD'!J123</f>
        <v>4.5400000000000003E-2</v>
      </c>
      <c r="D122" s="47">
        <f ca="1">'[1]Jumbo Bus Date to PDD'!K123</f>
        <v>4.7800000000000002E-2</v>
      </c>
      <c r="E122" s="5">
        <f ca="1">'[1]Jumbo Bus Date to PDD'!L123</f>
        <v>5.04E-2</v>
      </c>
    </row>
    <row r="123" spans="1:5" x14ac:dyDescent="0.25">
      <c r="A123" s="15">
        <f>'[1]Jumbo Bus Date to PDD'!H124</f>
        <v>46142</v>
      </c>
      <c r="B123" s="17">
        <f ca="1">'[1]Jumbo Bus Date to PDD'!I124</f>
        <v>4.2999999999999997E-2</v>
      </c>
      <c r="C123" s="47">
        <f ca="1">'[1]Jumbo Bus Date to PDD'!J124</f>
        <v>4.5999999999999999E-2</v>
      </c>
      <c r="D123" s="47">
        <f ca="1">'[1]Jumbo Bus Date to PDD'!K124</f>
        <v>4.8399999999999999E-2</v>
      </c>
      <c r="E123" s="5">
        <f ca="1">'[1]Jumbo Bus Date to PDD'!L124</f>
        <v>5.0900000000000001E-2</v>
      </c>
    </row>
    <row r="124" spans="1:5" x14ac:dyDescent="0.25">
      <c r="A124" s="15">
        <f>'[1]Jumbo Bus Date to PDD'!H125</f>
        <v>46143</v>
      </c>
      <c r="B124" s="17">
        <f ca="1">'[1]Jumbo Bus Date to PDD'!I125</f>
        <v>4.2999999999999997E-2</v>
      </c>
      <c r="C124" s="47">
        <f ca="1">'[1]Jumbo Bus Date to PDD'!J125</f>
        <v>4.5999999999999999E-2</v>
      </c>
      <c r="D124" s="47">
        <f ca="1">'[1]Jumbo Bus Date to PDD'!K125</f>
        <v>4.8500000000000001E-2</v>
      </c>
      <c r="E124" s="5">
        <f ca="1">'[1]Jumbo Bus Date to PDD'!L125</f>
        <v>5.11E-2</v>
      </c>
    </row>
    <row r="125" spans="1:5" x14ac:dyDescent="0.25">
      <c r="A125" s="15">
        <f>'[1]Jumbo Bus Date to PDD'!H126</f>
        <v>46144</v>
      </c>
      <c r="B125" s="17">
        <f ca="1">'[1]Jumbo Bus Date to PDD'!I126</f>
        <v>4.2900000000000001E-2</v>
      </c>
      <c r="C125" s="47">
        <f ca="1">'[1]Jumbo Bus Date to PDD'!J126</f>
        <v>4.5900000000000003E-2</v>
      </c>
      <c r="D125" s="47">
        <f ca="1">'[1]Jumbo Bus Date to PDD'!K126</f>
        <v>4.8300000000000003E-2</v>
      </c>
      <c r="E125" s="5">
        <f ca="1">'[1]Jumbo Bus Date to PDD'!L126</f>
        <v>5.0900000000000001E-2</v>
      </c>
    </row>
    <row r="126" spans="1:5" x14ac:dyDescent="0.25">
      <c r="A126" s="15">
        <f>'[1]Jumbo Bus Date to PDD'!H127</f>
        <v>46145</v>
      </c>
      <c r="B126" s="17">
        <f ca="1">'[1]Jumbo Bus Date to PDD'!I127</f>
        <v>4.2900000000000001E-2</v>
      </c>
      <c r="C126" s="47">
        <f ca="1">'[1]Jumbo Bus Date to PDD'!J127</f>
        <v>4.5900000000000003E-2</v>
      </c>
      <c r="D126" s="47">
        <f ca="1">'[1]Jumbo Bus Date to PDD'!K127</f>
        <v>4.8300000000000003E-2</v>
      </c>
      <c r="E126" s="5">
        <f ca="1">'[1]Jumbo Bus Date to PDD'!L127</f>
        <v>5.0900000000000001E-2</v>
      </c>
    </row>
    <row r="127" spans="1:5" x14ac:dyDescent="0.25">
      <c r="A127" s="15">
        <f>'[1]Jumbo Bus Date to PDD'!H128</f>
        <v>46146</v>
      </c>
      <c r="B127" s="17">
        <f ca="1">'[1]Jumbo Bus Date to PDD'!I128</f>
        <v>4.2900000000000001E-2</v>
      </c>
      <c r="C127" s="47">
        <f ca="1">'[1]Jumbo Bus Date to PDD'!J128</f>
        <v>4.5900000000000003E-2</v>
      </c>
      <c r="D127" s="47">
        <f ca="1">'[1]Jumbo Bus Date to PDD'!K128</f>
        <v>4.8300000000000003E-2</v>
      </c>
      <c r="E127" s="5">
        <f ca="1">'[1]Jumbo Bus Date to PDD'!L128</f>
        <v>5.0900000000000001E-2</v>
      </c>
    </row>
    <row r="128" spans="1:5" x14ac:dyDescent="0.25">
      <c r="A128" s="15">
        <f>'[1]Jumbo Bus Date to PDD'!H129</f>
        <v>46147</v>
      </c>
      <c r="B128" s="17">
        <f ca="1">'[1]Jumbo Bus Date to PDD'!I129</f>
        <v>4.3400000000000001E-2</v>
      </c>
      <c r="C128" s="47">
        <f ca="1">'[1]Jumbo Bus Date to PDD'!J129</f>
        <v>4.6399999999999997E-2</v>
      </c>
      <c r="D128" s="47">
        <f ca="1">'[1]Jumbo Bus Date to PDD'!K129</f>
        <v>4.8800000000000003E-2</v>
      </c>
      <c r="E128" s="5">
        <f ca="1">'[1]Jumbo Bus Date to PDD'!L129</f>
        <v>5.1299999999999998E-2</v>
      </c>
    </row>
    <row r="129" spans="1:5" x14ac:dyDescent="0.25">
      <c r="A129" s="15">
        <f>'[1]Jumbo Bus Date to PDD'!H130</f>
        <v>46148</v>
      </c>
      <c r="B129" s="17">
        <f ca="1">'[1]Jumbo Bus Date to PDD'!I130</f>
        <v>4.3099999999999999E-2</v>
      </c>
      <c r="C129" s="47">
        <f ca="1">'[1]Jumbo Bus Date to PDD'!J130</f>
        <v>4.5999999999999999E-2</v>
      </c>
      <c r="D129" s="47">
        <f ca="1">'[1]Jumbo Bus Date to PDD'!K130</f>
        <v>4.8399999999999999E-2</v>
      </c>
      <c r="E129" s="5">
        <f ca="1">'[1]Jumbo Bus Date to PDD'!L130</f>
        <v>5.0900000000000001E-2</v>
      </c>
    </row>
    <row r="130" spans="1:5" x14ac:dyDescent="0.25">
      <c r="A130" s="15">
        <f>'[1]Jumbo Bus Date to PDD'!H131</f>
        <v>46149</v>
      </c>
      <c r="B130" s="17">
        <f ca="1">'[1]Jumbo Bus Date to PDD'!I131</f>
        <v>4.24E-2</v>
      </c>
      <c r="C130" s="47">
        <f ca="1">'[1]Jumbo Bus Date to PDD'!J131</f>
        <v>4.5400000000000003E-2</v>
      </c>
      <c r="D130" s="47">
        <f ca="1">'[1]Jumbo Bus Date to PDD'!K131</f>
        <v>4.7800000000000002E-2</v>
      </c>
      <c r="E130" s="5">
        <f ca="1">'[1]Jumbo Bus Date to PDD'!L131</f>
        <v>5.0299999999999997E-2</v>
      </c>
    </row>
    <row r="131" spans="1:5" x14ac:dyDescent="0.25">
      <c r="A131" s="15">
        <f>'[1]Jumbo Bus Date to PDD'!H132</f>
        <v>46150</v>
      </c>
      <c r="B131" s="17">
        <f ca="1">'[1]Jumbo Bus Date to PDD'!I132</f>
        <v>4.2799999999999998E-2</v>
      </c>
      <c r="C131" s="47">
        <f ca="1">'[1]Jumbo Bus Date to PDD'!J132</f>
        <v>4.58E-2</v>
      </c>
      <c r="D131" s="47">
        <f ca="1">'[1]Jumbo Bus Date to PDD'!K132</f>
        <v>4.82E-2</v>
      </c>
      <c r="E131" s="5">
        <f ca="1">'[1]Jumbo Bus Date to PDD'!L132</f>
        <v>5.0700000000000002E-2</v>
      </c>
    </row>
    <row r="132" spans="1:5" x14ac:dyDescent="0.25">
      <c r="A132" s="15">
        <f>'[1]Jumbo Bus Date to PDD'!H133</f>
        <v>46151</v>
      </c>
      <c r="B132" s="17">
        <f ca="1">'[1]Jumbo Bus Date to PDD'!I133</f>
        <v>4.2599999999999999E-2</v>
      </c>
      <c r="C132" s="47">
        <f ca="1">'[1]Jumbo Bus Date to PDD'!J133</f>
        <v>4.5499999999999999E-2</v>
      </c>
      <c r="D132" s="47">
        <f ca="1">'[1]Jumbo Bus Date to PDD'!K133</f>
        <v>4.7899999999999998E-2</v>
      </c>
      <c r="E132" s="5">
        <f ca="1">'[1]Jumbo Bus Date to PDD'!L133</f>
        <v>5.04E-2</v>
      </c>
    </row>
    <row r="133" spans="1:5" x14ac:dyDescent="0.25">
      <c r="A133" s="15">
        <f>'[1]Jumbo Bus Date to PDD'!H134</f>
        <v>46152</v>
      </c>
      <c r="B133" s="17">
        <f ca="1">'[1]Jumbo Bus Date to PDD'!I134</f>
        <v>4.2599999999999999E-2</v>
      </c>
      <c r="C133" s="47">
        <f ca="1">'[1]Jumbo Bus Date to PDD'!J134</f>
        <v>4.5499999999999999E-2</v>
      </c>
      <c r="D133" s="47">
        <f ca="1">'[1]Jumbo Bus Date to PDD'!K134</f>
        <v>4.7899999999999998E-2</v>
      </c>
      <c r="E133" s="5">
        <f ca="1">'[1]Jumbo Bus Date to PDD'!L134</f>
        <v>5.04E-2</v>
      </c>
    </row>
    <row r="134" spans="1:5" x14ac:dyDescent="0.25">
      <c r="A134" s="15">
        <f>'[1]Jumbo Bus Date to PDD'!H135</f>
        <v>46153</v>
      </c>
      <c r="B134" s="17">
        <f ca="1">'[1]Jumbo Bus Date to PDD'!I135</f>
        <v>4.2599999999999999E-2</v>
      </c>
      <c r="C134" s="47">
        <f ca="1">'[1]Jumbo Bus Date to PDD'!J135</f>
        <v>4.5499999999999999E-2</v>
      </c>
      <c r="D134" s="47">
        <f ca="1">'[1]Jumbo Bus Date to PDD'!K135</f>
        <v>4.7899999999999998E-2</v>
      </c>
      <c r="E134" s="5">
        <f ca="1">'[1]Jumbo Bus Date to PDD'!L135</f>
        <v>5.04E-2</v>
      </c>
    </row>
    <row r="135" spans="1:5" x14ac:dyDescent="0.25">
      <c r="A135" s="15">
        <f>'[1]Jumbo Bus Date to PDD'!H136</f>
        <v>46154</v>
      </c>
      <c r="B135" s="17">
        <f ca="1">'[1]Jumbo Bus Date to PDD'!I136</f>
        <v>4.2999999999999997E-2</v>
      </c>
      <c r="C135" s="47">
        <f ca="1">'[1]Jumbo Bus Date to PDD'!J136</f>
        <v>4.58E-2</v>
      </c>
      <c r="D135" s="47">
        <f ca="1">'[1]Jumbo Bus Date to PDD'!K136</f>
        <v>4.82E-2</v>
      </c>
      <c r="E135" s="5">
        <f ca="1">'[1]Jumbo Bus Date to PDD'!L136</f>
        <v>5.0700000000000002E-2</v>
      </c>
    </row>
    <row r="136" spans="1:5" x14ac:dyDescent="0.25">
      <c r="A136" s="15">
        <f>'[1]Jumbo Bus Date to PDD'!H137</f>
        <v>46155</v>
      </c>
      <c r="B136" s="17">
        <f ca="1">'[1]Jumbo Bus Date to PDD'!I137</f>
        <v>4.3499999999999997E-2</v>
      </c>
      <c r="C136" s="47">
        <f ca="1">'[1]Jumbo Bus Date to PDD'!J137</f>
        <v>4.6399999999999997E-2</v>
      </c>
      <c r="D136" s="47">
        <f ca="1">'[1]Jumbo Bus Date to PDD'!K137</f>
        <v>4.87E-2</v>
      </c>
      <c r="E136" s="5">
        <f ca="1">'[1]Jumbo Bus Date to PDD'!L137</f>
        <v>5.1200000000000002E-2</v>
      </c>
    </row>
    <row r="137" spans="1:5" x14ac:dyDescent="0.25">
      <c r="A137" s="15">
        <f>'[1]Jumbo Bus Date to PDD'!H138</f>
        <v>46156</v>
      </c>
      <c r="B137" s="17">
        <f ca="1">'[1]Jumbo Bus Date to PDD'!I138</f>
        <v>4.3299999999999998E-2</v>
      </c>
      <c r="C137" s="47">
        <f ca="1">'[1]Jumbo Bus Date to PDD'!J138</f>
        <v>4.6199999999999998E-2</v>
      </c>
      <c r="D137" s="47">
        <f ca="1">'[1]Jumbo Bus Date to PDD'!K138</f>
        <v>4.8599999999999997E-2</v>
      </c>
      <c r="E137" s="5">
        <f ca="1">'[1]Jumbo Bus Date to PDD'!L138</f>
        <v>5.11E-2</v>
      </c>
    </row>
    <row r="138" spans="1:5" x14ac:dyDescent="0.25">
      <c r="A138" s="15">
        <f>'[1]Jumbo Bus Date to PDD'!H139</f>
        <v>46157</v>
      </c>
      <c r="B138" s="17">
        <f ca="1">'[1]Jumbo Bus Date to PDD'!I139</f>
        <v>4.3299999999999998E-2</v>
      </c>
      <c r="C138" s="47">
        <f ca="1">'[1]Jumbo Bus Date to PDD'!J139</f>
        <v>4.6199999999999998E-2</v>
      </c>
      <c r="D138" s="47">
        <f ca="1">'[1]Jumbo Bus Date to PDD'!K139</f>
        <v>4.8500000000000001E-2</v>
      </c>
      <c r="E138" s="5">
        <f ca="1">'[1]Jumbo Bus Date to PDD'!L139</f>
        <v>5.0999999999999997E-2</v>
      </c>
    </row>
    <row r="139" spans="1:5" x14ac:dyDescent="0.25">
      <c r="A139" s="15">
        <f>'[1]Jumbo Bus Date to PDD'!H140</f>
        <v>46158</v>
      </c>
      <c r="B139" s="17">
        <f ca="1">'[1]Jumbo Bus Date to PDD'!I140</f>
        <v>4.4299999999999999E-2</v>
      </c>
      <c r="C139" s="47">
        <f ca="1">'[1]Jumbo Bus Date to PDD'!J140</f>
        <v>4.7199999999999999E-2</v>
      </c>
      <c r="D139" s="47">
        <f ca="1">'[1]Jumbo Bus Date to PDD'!K140</f>
        <v>4.9500000000000002E-2</v>
      </c>
      <c r="E139" s="5">
        <f ca="1">'[1]Jumbo Bus Date to PDD'!L140</f>
        <v>5.1900000000000002E-2</v>
      </c>
    </row>
    <row r="140" spans="1:5" x14ac:dyDescent="0.25">
      <c r="A140" s="15">
        <f>'[1]Jumbo Bus Date to PDD'!H141</f>
        <v>46159</v>
      </c>
      <c r="B140" s="17">
        <f ca="1">'[1]Jumbo Bus Date to PDD'!I141</f>
        <v>4.4299999999999999E-2</v>
      </c>
      <c r="C140" s="47">
        <f ca="1">'[1]Jumbo Bus Date to PDD'!J141</f>
        <v>4.7199999999999999E-2</v>
      </c>
      <c r="D140" s="47">
        <f ca="1">'[1]Jumbo Bus Date to PDD'!K141</f>
        <v>4.9500000000000002E-2</v>
      </c>
      <c r="E140" s="5">
        <f ca="1">'[1]Jumbo Bus Date to PDD'!L141</f>
        <v>5.1900000000000002E-2</v>
      </c>
    </row>
    <row r="141" spans="1:5" x14ac:dyDescent="0.25">
      <c r="A141" s="15">
        <f>'[1]Jumbo Bus Date to PDD'!H142</f>
        <v>46160</v>
      </c>
      <c r="B141" s="17">
        <f ca="1">'[1]Jumbo Bus Date to PDD'!I142</f>
        <v>4.4299999999999999E-2</v>
      </c>
      <c r="C141" s="47">
        <f ca="1">'[1]Jumbo Bus Date to PDD'!J142</f>
        <v>4.7199999999999999E-2</v>
      </c>
      <c r="D141" s="47">
        <f ca="1">'[1]Jumbo Bus Date to PDD'!K142</f>
        <v>4.9500000000000002E-2</v>
      </c>
      <c r="E141" s="5">
        <f ca="1">'[1]Jumbo Bus Date to PDD'!L142</f>
        <v>5.1900000000000002E-2</v>
      </c>
    </row>
    <row r="142" spans="1:5" x14ac:dyDescent="0.25">
      <c r="A142" s="15">
        <f>'[1]Jumbo Bus Date to PDD'!H143</f>
        <v>46161</v>
      </c>
      <c r="B142" s="17">
        <f ca="1">'[1]Jumbo Bus Date to PDD'!I143</f>
        <v>4.4299999999999999E-2</v>
      </c>
      <c r="C142" s="47">
        <f ca="1">'[1]Jumbo Bus Date to PDD'!J143</f>
        <v>4.7300000000000002E-2</v>
      </c>
      <c r="D142" s="47">
        <f ca="1">'[1]Jumbo Bus Date to PDD'!K143</f>
        <v>4.9599999999999998E-2</v>
      </c>
      <c r="E142" s="5">
        <f ca="1">'[1]Jumbo Bus Date to PDD'!L143</f>
        <v>5.1999999999999998E-2</v>
      </c>
    </row>
    <row r="143" spans="1:5" x14ac:dyDescent="0.25">
      <c r="A143" s="15">
        <f>'[1]Jumbo Bus Date to PDD'!H144</f>
        <v>46162</v>
      </c>
      <c r="B143" s="17" t="str">
        <f ca="1">'[1]Jumbo Bus Date to PDD'!I144</f>
        <v xml:space="preserve"> </v>
      </c>
      <c r="C143" s="47" t="str">
        <f ca="1">'[1]Jumbo Bus Date to PDD'!J144</f>
        <v xml:space="preserve"> </v>
      </c>
      <c r="D143" s="47" t="str">
        <f ca="1">'[1]Jumbo Bus Date to PDD'!K144</f>
        <v xml:space="preserve"> </v>
      </c>
      <c r="E143" s="5" t="str">
        <f ca="1">'[1]Jumbo Bus Date to PDD'!L144</f>
        <v xml:space="preserve"> </v>
      </c>
    </row>
    <row r="144" spans="1:5" x14ac:dyDescent="0.25">
      <c r="A144" s="15">
        <f>'[1]Jumbo Bus Date to PDD'!H145</f>
        <v>46163</v>
      </c>
      <c r="B144" s="17" t="str">
        <f ca="1">'[1]Jumbo Bus Date to PDD'!I145</f>
        <v xml:space="preserve"> </v>
      </c>
      <c r="C144" s="47" t="str">
        <f ca="1">'[1]Jumbo Bus Date to PDD'!J145</f>
        <v xml:space="preserve"> </v>
      </c>
      <c r="D144" s="47" t="str">
        <f ca="1">'[1]Jumbo Bus Date to PDD'!K145</f>
        <v xml:space="preserve"> </v>
      </c>
      <c r="E144" s="5" t="str">
        <f ca="1">'[1]Jumbo Bus Date to PDD'!L145</f>
        <v xml:space="preserve"> </v>
      </c>
    </row>
    <row r="145" spans="1:5" x14ac:dyDescent="0.25">
      <c r="A145" s="15">
        <f>'[1]Jumbo Bus Date to PDD'!H146</f>
        <v>46164</v>
      </c>
      <c r="B145" s="17" t="str">
        <f ca="1">'[1]Jumbo Bus Date to PDD'!I146</f>
        <v xml:space="preserve"> </v>
      </c>
      <c r="C145" s="47" t="str">
        <f ca="1">'[1]Jumbo Bus Date to PDD'!J146</f>
        <v xml:space="preserve"> </v>
      </c>
      <c r="D145" s="47" t="str">
        <f ca="1">'[1]Jumbo Bus Date to PDD'!K146</f>
        <v xml:space="preserve"> </v>
      </c>
      <c r="E145" s="5" t="str">
        <f ca="1">'[1]Jumbo Bus Date to PDD'!L146</f>
        <v xml:space="preserve"> </v>
      </c>
    </row>
    <row r="146" spans="1:5" x14ac:dyDescent="0.25">
      <c r="A146" s="15">
        <f>'[1]Jumbo Bus Date to PDD'!H147</f>
        <v>46165</v>
      </c>
      <c r="B146" s="17" t="str">
        <f ca="1">'[1]Jumbo Bus Date to PDD'!I147</f>
        <v xml:space="preserve"> </v>
      </c>
      <c r="C146" s="47" t="str">
        <f ca="1">'[1]Jumbo Bus Date to PDD'!J147</f>
        <v xml:space="preserve"> </v>
      </c>
      <c r="D146" s="47" t="str">
        <f ca="1">'[1]Jumbo Bus Date to PDD'!K147</f>
        <v xml:space="preserve"> </v>
      </c>
      <c r="E146" s="5" t="str">
        <f ca="1">'[1]Jumbo Bus Date to PDD'!L147</f>
        <v xml:space="preserve"> </v>
      </c>
    </row>
    <row r="147" spans="1:5" x14ac:dyDescent="0.25">
      <c r="A147" s="15">
        <f>'[1]Jumbo Bus Date to PDD'!H148</f>
        <v>46166</v>
      </c>
      <c r="B147" s="17" t="str">
        <f ca="1">'[1]Jumbo Bus Date to PDD'!I148</f>
        <v xml:space="preserve"> </v>
      </c>
      <c r="C147" s="47" t="str">
        <f ca="1">'[1]Jumbo Bus Date to PDD'!J148</f>
        <v xml:space="preserve"> </v>
      </c>
      <c r="D147" s="47" t="str">
        <f ca="1">'[1]Jumbo Bus Date to PDD'!K148</f>
        <v xml:space="preserve"> </v>
      </c>
      <c r="E147" s="5" t="str">
        <f ca="1">'[1]Jumbo Bus Date to PDD'!L148</f>
        <v xml:space="preserve"> </v>
      </c>
    </row>
    <row r="148" spans="1:5" x14ac:dyDescent="0.25">
      <c r="A148" s="15">
        <f>'[1]Jumbo Bus Date to PDD'!H149</f>
        <v>46167</v>
      </c>
      <c r="B148" s="17" t="str">
        <f ca="1">'[1]Jumbo Bus Date to PDD'!I149</f>
        <v xml:space="preserve"> </v>
      </c>
      <c r="C148" s="47" t="str">
        <f ca="1">'[1]Jumbo Bus Date to PDD'!J149</f>
        <v xml:space="preserve"> </v>
      </c>
      <c r="D148" s="47" t="str">
        <f ca="1">'[1]Jumbo Bus Date to PDD'!K149</f>
        <v xml:space="preserve"> </v>
      </c>
      <c r="E148" s="5" t="str">
        <f ca="1">'[1]Jumbo Bus Date to PDD'!L149</f>
        <v xml:space="preserve"> </v>
      </c>
    </row>
    <row r="149" spans="1:5" x14ac:dyDescent="0.25">
      <c r="A149" s="15">
        <f>'[1]Jumbo Bus Date to PDD'!H150</f>
        <v>46168</v>
      </c>
      <c r="B149" s="17" t="str">
        <f ca="1">'[1]Jumbo Bus Date to PDD'!I150</f>
        <v xml:space="preserve"> </v>
      </c>
      <c r="C149" s="47" t="str">
        <f ca="1">'[1]Jumbo Bus Date to PDD'!J150</f>
        <v xml:space="preserve"> </v>
      </c>
      <c r="D149" s="47" t="str">
        <f ca="1">'[1]Jumbo Bus Date to PDD'!K150</f>
        <v xml:space="preserve"> </v>
      </c>
      <c r="E149" s="5" t="str">
        <f ca="1">'[1]Jumbo Bus Date to PDD'!L150</f>
        <v xml:space="preserve"> </v>
      </c>
    </row>
    <row r="150" spans="1:5" x14ac:dyDescent="0.25">
      <c r="A150" s="15">
        <f>'[1]Jumbo Bus Date to PDD'!H151</f>
        <v>46169</v>
      </c>
      <c r="B150" s="17" t="str">
        <f ca="1">'[1]Jumbo Bus Date to PDD'!I151</f>
        <v xml:space="preserve"> </v>
      </c>
      <c r="C150" s="47" t="str">
        <f ca="1">'[1]Jumbo Bus Date to PDD'!J151</f>
        <v xml:space="preserve"> </v>
      </c>
      <c r="D150" s="47" t="str">
        <f ca="1">'[1]Jumbo Bus Date to PDD'!K151</f>
        <v xml:space="preserve"> </v>
      </c>
      <c r="E150" s="5" t="str">
        <f ca="1">'[1]Jumbo Bus Date to PDD'!L151</f>
        <v xml:space="preserve"> </v>
      </c>
    </row>
    <row r="151" spans="1:5" x14ac:dyDescent="0.25">
      <c r="A151" s="15">
        <f>'[1]Jumbo Bus Date to PDD'!H152</f>
        <v>46170</v>
      </c>
      <c r="B151" s="17" t="str">
        <f ca="1">'[1]Jumbo Bus Date to PDD'!I152</f>
        <v xml:space="preserve"> </v>
      </c>
      <c r="C151" s="47" t="str">
        <f ca="1">'[1]Jumbo Bus Date to PDD'!J152</f>
        <v xml:space="preserve"> </v>
      </c>
      <c r="D151" s="47" t="str">
        <f ca="1">'[1]Jumbo Bus Date to PDD'!K152</f>
        <v xml:space="preserve"> </v>
      </c>
      <c r="E151" s="5" t="str">
        <f ca="1">'[1]Jumbo Bus Date to PDD'!L152</f>
        <v xml:space="preserve"> </v>
      </c>
    </row>
    <row r="152" spans="1:5" x14ac:dyDescent="0.25">
      <c r="A152" s="15">
        <f>'[1]Jumbo Bus Date to PDD'!H153</f>
        <v>46171</v>
      </c>
      <c r="B152" s="17" t="str">
        <f ca="1">'[1]Jumbo Bus Date to PDD'!I153</f>
        <v xml:space="preserve"> </v>
      </c>
      <c r="C152" s="47" t="str">
        <f ca="1">'[1]Jumbo Bus Date to PDD'!J153</f>
        <v xml:space="preserve"> </v>
      </c>
      <c r="D152" s="47" t="str">
        <f ca="1">'[1]Jumbo Bus Date to PDD'!K153</f>
        <v xml:space="preserve"> </v>
      </c>
      <c r="E152" s="5" t="str">
        <f ca="1">'[1]Jumbo Bus Date to PDD'!L153</f>
        <v xml:space="preserve"> </v>
      </c>
    </row>
    <row r="153" spans="1:5" x14ac:dyDescent="0.25">
      <c r="A153" s="15">
        <f>'[1]Jumbo Bus Date to PDD'!H154</f>
        <v>46172</v>
      </c>
      <c r="B153" s="17" t="str">
        <f ca="1">'[1]Jumbo Bus Date to PDD'!I154</f>
        <v xml:space="preserve"> </v>
      </c>
      <c r="C153" s="47" t="str">
        <f ca="1">'[1]Jumbo Bus Date to PDD'!J154</f>
        <v xml:space="preserve"> </v>
      </c>
      <c r="D153" s="47" t="str">
        <f ca="1">'[1]Jumbo Bus Date to PDD'!K154</f>
        <v xml:space="preserve"> </v>
      </c>
      <c r="E153" s="5" t="str">
        <f ca="1">'[1]Jumbo Bus Date to PDD'!L154</f>
        <v xml:space="preserve"> </v>
      </c>
    </row>
    <row r="154" spans="1:5" x14ac:dyDescent="0.25">
      <c r="A154" s="15">
        <f>'[1]Jumbo Bus Date to PDD'!H155</f>
        <v>46173</v>
      </c>
      <c r="B154" s="17" t="str">
        <f ca="1">'[1]Jumbo Bus Date to PDD'!I155</f>
        <v xml:space="preserve"> </v>
      </c>
      <c r="C154" s="47" t="str">
        <f ca="1">'[1]Jumbo Bus Date to PDD'!J155</f>
        <v xml:space="preserve"> </v>
      </c>
      <c r="D154" s="47" t="str">
        <f ca="1">'[1]Jumbo Bus Date to PDD'!K155</f>
        <v xml:space="preserve"> </v>
      </c>
      <c r="E154" s="5" t="str">
        <f ca="1">'[1]Jumbo Bus Date to PDD'!L155</f>
        <v xml:space="preserve"> </v>
      </c>
    </row>
    <row r="155" spans="1:5" x14ac:dyDescent="0.25">
      <c r="A155" s="15">
        <f>'[1]Jumbo Bus Date to PDD'!H156</f>
        <v>46174</v>
      </c>
      <c r="B155" s="17" t="str">
        <f ca="1">'[1]Jumbo Bus Date to PDD'!I156</f>
        <v xml:space="preserve"> </v>
      </c>
      <c r="C155" s="47" t="str">
        <f ca="1">'[1]Jumbo Bus Date to PDD'!J156</f>
        <v xml:space="preserve"> </v>
      </c>
      <c r="D155" s="47" t="str">
        <f ca="1">'[1]Jumbo Bus Date to PDD'!K156</f>
        <v xml:space="preserve"> </v>
      </c>
      <c r="E155" s="5" t="str">
        <f ca="1">'[1]Jumbo Bus Date to PDD'!L156</f>
        <v xml:space="preserve"> </v>
      </c>
    </row>
    <row r="156" spans="1:5" x14ac:dyDescent="0.25">
      <c r="A156" s="15">
        <f>'[1]Jumbo Bus Date to PDD'!H157</f>
        <v>46175</v>
      </c>
      <c r="B156" s="17" t="str">
        <f ca="1">'[1]Jumbo Bus Date to PDD'!I157</f>
        <v xml:space="preserve"> </v>
      </c>
      <c r="C156" s="47" t="str">
        <f ca="1">'[1]Jumbo Bus Date to PDD'!J157</f>
        <v xml:space="preserve"> </v>
      </c>
      <c r="D156" s="47" t="str">
        <f ca="1">'[1]Jumbo Bus Date to PDD'!K157</f>
        <v xml:space="preserve"> </v>
      </c>
      <c r="E156" s="5" t="str">
        <f ca="1">'[1]Jumbo Bus Date to PDD'!L157</f>
        <v xml:space="preserve"> </v>
      </c>
    </row>
    <row r="157" spans="1:5" x14ac:dyDescent="0.25">
      <c r="A157" s="15">
        <f>'[1]Jumbo Bus Date to PDD'!H158</f>
        <v>46176</v>
      </c>
      <c r="B157" s="17" t="str">
        <f ca="1">'[1]Jumbo Bus Date to PDD'!I158</f>
        <v xml:space="preserve"> </v>
      </c>
      <c r="C157" s="47" t="str">
        <f ca="1">'[1]Jumbo Bus Date to PDD'!J158</f>
        <v xml:space="preserve"> </v>
      </c>
      <c r="D157" s="47" t="str">
        <f ca="1">'[1]Jumbo Bus Date to PDD'!K158</f>
        <v xml:space="preserve"> </v>
      </c>
      <c r="E157" s="5" t="str">
        <f ca="1">'[1]Jumbo Bus Date to PDD'!L158</f>
        <v xml:space="preserve"> </v>
      </c>
    </row>
    <row r="158" spans="1:5" x14ac:dyDescent="0.25">
      <c r="A158" s="15">
        <f>'[1]Jumbo Bus Date to PDD'!H159</f>
        <v>46177</v>
      </c>
      <c r="B158" s="17" t="str">
        <f ca="1">'[1]Jumbo Bus Date to PDD'!I159</f>
        <v xml:space="preserve"> </v>
      </c>
      <c r="C158" s="47" t="str">
        <f ca="1">'[1]Jumbo Bus Date to PDD'!J159</f>
        <v xml:space="preserve"> </v>
      </c>
      <c r="D158" s="47" t="str">
        <f ca="1">'[1]Jumbo Bus Date to PDD'!K159</f>
        <v xml:space="preserve"> </v>
      </c>
      <c r="E158" s="5" t="str">
        <f ca="1">'[1]Jumbo Bus Date to PDD'!L159</f>
        <v xml:space="preserve"> </v>
      </c>
    </row>
    <row r="159" spans="1:5" x14ac:dyDescent="0.25">
      <c r="A159" s="15">
        <f>'[1]Jumbo Bus Date to PDD'!H160</f>
        <v>46178</v>
      </c>
      <c r="B159" s="17" t="str">
        <f ca="1">'[1]Jumbo Bus Date to PDD'!I160</f>
        <v xml:space="preserve"> </v>
      </c>
      <c r="C159" s="47" t="str">
        <f ca="1">'[1]Jumbo Bus Date to PDD'!J160</f>
        <v xml:space="preserve"> </v>
      </c>
      <c r="D159" s="47" t="str">
        <f ca="1">'[1]Jumbo Bus Date to PDD'!K160</f>
        <v xml:space="preserve"> </v>
      </c>
      <c r="E159" s="5" t="str">
        <f ca="1">'[1]Jumbo Bus Date to PDD'!L160</f>
        <v xml:space="preserve"> </v>
      </c>
    </row>
    <row r="160" spans="1:5" x14ac:dyDescent="0.25">
      <c r="A160" s="15">
        <f>'[1]Jumbo Bus Date to PDD'!H161</f>
        <v>46179</v>
      </c>
      <c r="B160" s="17" t="str">
        <f ca="1">'[1]Jumbo Bus Date to PDD'!I161</f>
        <v xml:space="preserve"> </v>
      </c>
      <c r="C160" s="47" t="str">
        <f ca="1">'[1]Jumbo Bus Date to PDD'!J161</f>
        <v xml:space="preserve"> </v>
      </c>
      <c r="D160" s="47" t="str">
        <f ca="1">'[1]Jumbo Bus Date to PDD'!K161</f>
        <v xml:space="preserve"> </v>
      </c>
      <c r="E160" s="5" t="str">
        <f ca="1">'[1]Jumbo Bus Date to PDD'!L161</f>
        <v xml:space="preserve"> </v>
      </c>
    </row>
    <row r="161" spans="1:5" x14ac:dyDescent="0.25">
      <c r="A161" s="15">
        <f>'[1]Jumbo Bus Date to PDD'!H162</f>
        <v>46180</v>
      </c>
      <c r="B161" s="17" t="str">
        <f ca="1">'[1]Jumbo Bus Date to PDD'!I162</f>
        <v xml:space="preserve"> </v>
      </c>
      <c r="C161" s="47" t="str">
        <f ca="1">'[1]Jumbo Bus Date to PDD'!J162</f>
        <v xml:space="preserve"> </v>
      </c>
      <c r="D161" s="47" t="str">
        <f ca="1">'[1]Jumbo Bus Date to PDD'!K162</f>
        <v xml:space="preserve"> </v>
      </c>
      <c r="E161" s="5" t="str">
        <f ca="1">'[1]Jumbo Bus Date to PDD'!L162</f>
        <v xml:space="preserve"> </v>
      </c>
    </row>
    <row r="162" spans="1:5" x14ac:dyDescent="0.25">
      <c r="A162" s="15">
        <f>'[1]Jumbo Bus Date to PDD'!H163</f>
        <v>46181</v>
      </c>
      <c r="B162" s="17" t="str">
        <f ca="1">'[1]Jumbo Bus Date to PDD'!I163</f>
        <v xml:space="preserve"> </v>
      </c>
      <c r="C162" s="47" t="str">
        <f ca="1">'[1]Jumbo Bus Date to PDD'!J163</f>
        <v xml:space="preserve"> </v>
      </c>
      <c r="D162" s="47" t="str">
        <f ca="1">'[1]Jumbo Bus Date to PDD'!K163</f>
        <v xml:space="preserve"> </v>
      </c>
      <c r="E162" s="5" t="str">
        <f ca="1">'[1]Jumbo Bus Date to PDD'!L163</f>
        <v xml:space="preserve"> </v>
      </c>
    </row>
    <row r="163" spans="1:5" x14ac:dyDescent="0.25">
      <c r="A163" s="15">
        <f>'[1]Jumbo Bus Date to PDD'!H164</f>
        <v>46182</v>
      </c>
      <c r="B163" s="17" t="str">
        <f ca="1">'[1]Jumbo Bus Date to PDD'!I164</f>
        <v xml:space="preserve"> </v>
      </c>
      <c r="C163" s="47" t="str">
        <f ca="1">'[1]Jumbo Bus Date to PDD'!J164</f>
        <v xml:space="preserve"> </v>
      </c>
      <c r="D163" s="47" t="str">
        <f ca="1">'[1]Jumbo Bus Date to PDD'!K164</f>
        <v xml:space="preserve"> </v>
      </c>
      <c r="E163" s="5" t="str">
        <f ca="1">'[1]Jumbo Bus Date to PDD'!L164</f>
        <v xml:space="preserve"> </v>
      </c>
    </row>
    <row r="164" spans="1:5" x14ac:dyDescent="0.25">
      <c r="A164" s="15">
        <f>'[1]Jumbo Bus Date to PDD'!H165</f>
        <v>46183</v>
      </c>
      <c r="B164" s="17" t="str">
        <f ca="1">'[1]Jumbo Bus Date to PDD'!I165</f>
        <v xml:space="preserve"> </v>
      </c>
      <c r="C164" s="47" t="str">
        <f ca="1">'[1]Jumbo Bus Date to PDD'!J165</f>
        <v xml:space="preserve"> </v>
      </c>
      <c r="D164" s="47" t="str">
        <f ca="1">'[1]Jumbo Bus Date to PDD'!K165</f>
        <v xml:space="preserve"> </v>
      </c>
      <c r="E164" s="5" t="str">
        <f ca="1">'[1]Jumbo Bus Date to PDD'!L165</f>
        <v xml:space="preserve"> </v>
      </c>
    </row>
    <row r="165" spans="1:5" x14ac:dyDescent="0.25">
      <c r="A165" s="15">
        <f>'[1]Jumbo Bus Date to PDD'!H166</f>
        <v>46184</v>
      </c>
      <c r="B165" s="17" t="str">
        <f ca="1">'[1]Jumbo Bus Date to PDD'!I166</f>
        <v xml:space="preserve"> </v>
      </c>
      <c r="C165" s="47" t="str">
        <f ca="1">'[1]Jumbo Bus Date to PDD'!J166</f>
        <v xml:space="preserve"> </v>
      </c>
      <c r="D165" s="47" t="str">
        <f ca="1">'[1]Jumbo Bus Date to PDD'!K166</f>
        <v xml:space="preserve"> </v>
      </c>
      <c r="E165" s="5" t="str">
        <f ca="1">'[1]Jumbo Bus Date to PDD'!L166</f>
        <v xml:space="preserve"> </v>
      </c>
    </row>
    <row r="166" spans="1:5" x14ac:dyDescent="0.25">
      <c r="A166" s="15">
        <f>'[1]Jumbo Bus Date to PDD'!H167</f>
        <v>46185</v>
      </c>
      <c r="B166" s="17" t="str">
        <f ca="1">'[1]Jumbo Bus Date to PDD'!I167</f>
        <v xml:space="preserve"> </v>
      </c>
      <c r="C166" s="47" t="str">
        <f ca="1">'[1]Jumbo Bus Date to PDD'!J167</f>
        <v xml:space="preserve"> </v>
      </c>
      <c r="D166" s="47" t="str">
        <f ca="1">'[1]Jumbo Bus Date to PDD'!K167</f>
        <v xml:space="preserve"> </v>
      </c>
      <c r="E166" s="5" t="str">
        <f ca="1">'[1]Jumbo Bus Date to PDD'!L167</f>
        <v xml:space="preserve"> </v>
      </c>
    </row>
    <row r="167" spans="1:5" x14ac:dyDescent="0.25">
      <c r="A167" s="15">
        <f>'[1]Jumbo Bus Date to PDD'!H168</f>
        <v>46186</v>
      </c>
      <c r="B167" s="17" t="str">
        <f ca="1">'[1]Jumbo Bus Date to PDD'!I168</f>
        <v xml:space="preserve"> </v>
      </c>
      <c r="C167" s="47" t="str">
        <f ca="1">'[1]Jumbo Bus Date to PDD'!J168</f>
        <v xml:space="preserve"> </v>
      </c>
      <c r="D167" s="47" t="str">
        <f ca="1">'[1]Jumbo Bus Date to PDD'!K168</f>
        <v xml:space="preserve"> </v>
      </c>
      <c r="E167" s="5" t="str">
        <f ca="1">'[1]Jumbo Bus Date to PDD'!L168</f>
        <v xml:space="preserve"> </v>
      </c>
    </row>
    <row r="168" spans="1:5" x14ac:dyDescent="0.25">
      <c r="A168" s="15">
        <f>'[1]Jumbo Bus Date to PDD'!H169</f>
        <v>46187</v>
      </c>
      <c r="B168" s="17" t="str">
        <f ca="1">'[1]Jumbo Bus Date to PDD'!I169</f>
        <v xml:space="preserve"> </v>
      </c>
      <c r="C168" s="47" t="str">
        <f ca="1">'[1]Jumbo Bus Date to PDD'!J169</f>
        <v xml:space="preserve"> </v>
      </c>
      <c r="D168" s="47" t="str">
        <f ca="1">'[1]Jumbo Bus Date to PDD'!K169</f>
        <v xml:space="preserve"> </v>
      </c>
      <c r="E168" s="5" t="str">
        <f ca="1">'[1]Jumbo Bus Date to PDD'!L169</f>
        <v xml:space="preserve"> </v>
      </c>
    </row>
    <row r="169" spans="1:5" x14ac:dyDescent="0.25">
      <c r="A169" s="15">
        <f>'[1]Jumbo Bus Date to PDD'!H170</f>
        <v>46188</v>
      </c>
      <c r="B169" s="17" t="str">
        <f ca="1">'[1]Jumbo Bus Date to PDD'!I170</f>
        <v xml:space="preserve"> </v>
      </c>
      <c r="C169" s="47" t="str">
        <f ca="1">'[1]Jumbo Bus Date to PDD'!J170</f>
        <v xml:space="preserve"> </v>
      </c>
      <c r="D169" s="47" t="str">
        <f ca="1">'[1]Jumbo Bus Date to PDD'!K170</f>
        <v xml:space="preserve"> </v>
      </c>
      <c r="E169" s="5" t="str">
        <f ca="1">'[1]Jumbo Bus Date to PDD'!L170</f>
        <v xml:space="preserve"> </v>
      </c>
    </row>
    <row r="170" spans="1:5" x14ac:dyDescent="0.25">
      <c r="A170" s="15">
        <f>'[1]Jumbo Bus Date to PDD'!H171</f>
        <v>46189</v>
      </c>
      <c r="B170" s="17" t="str">
        <f ca="1">'[1]Jumbo Bus Date to PDD'!I171</f>
        <v xml:space="preserve"> </v>
      </c>
      <c r="C170" s="47" t="str">
        <f ca="1">'[1]Jumbo Bus Date to PDD'!J171</f>
        <v xml:space="preserve"> </v>
      </c>
      <c r="D170" s="47" t="str">
        <f ca="1">'[1]Jumbo Bus Date to PDD'!K171</f>
        <v xml:space="preserve"> </v>
      </c>
      <c r="E170" s="5" t="str">
        <f ca="1">'[1]Jumbo Bus Date to PDD'!L171</f>
        <v xml:space="preserve"> </v>
      </c>
    </row>
    <row r="171" spans="1:5" x14ac:dyDescent="0.25">
      <c r="A171" s="15">
        <f>'[1]Jumbo Bus Date to PDD'!H172</f>
        <v>46190</v>
      </c>
      <c r="B171" s="17" t="str">
        <f ca="1">'[1]Jumbo Bus Date to PDD'!I172</f>
        <v xml:space="preserve"> </v>
      </c>
      <c r="C171" s="47" t="str">
        <f ca="1">'[1]Jumbo Bus Date to PDD'!J172</f>
        <v xml:space="preserve"> </v>
      </c>
      <c r="D171" s="47" t="str">
        <f ca="1">'[1]Jumbo Bus Date to PDD'!K172</f>
        <v xml:space="preserve"> </v>
      </c>
      <c r="E171" s="5" t="str">
        <f ca="1">'[1]Jumbo Bus Date to PDD'!L172</f>
        <v xml:space="preserve"> </v>
      </c>
    </row>
    <row r="172" spans="1:5" x14ac:dyDescent="0.25">
      <c r="A172" s="15">
        <f>'[1]Jumbo Bus Date to PDD'!H173</f>
        <v>46191</v>
      </c>
      <c r="B172" s="17" t="str">
        <f ca="1">'[1]Jumbo Bus Date to PDD'!I173</f>
        <v xml:space="preserve"> </v>
      </c>
      <c r="C172" s="47" t="str">
        <f ca="1">'[1]Jumbo Bus Date to PDD'!J173</f>
        <v xml:space="preserve"> </v>
      </c>
      <c r="D172" s="47" t="str">
        <f ca="1">'[1]Jumbo Bus Date to PDD'!K173</f>
        <v xml:space="preserve"> </v>
      </c>
      <c r="E172" s="5" t="str">
        <f ca="1">'[1]Jumbo Bus Date to PDD'!L173</f>
        <v xml:space="preserve"> </v>
      </c>
    </row>
    <row r="173" spans="1:5" x14ac:dyDescent="0.25">
      <c r="A173" s="15">
        <f>'[1]Jumbo Bus Date to PDD'!H174</f>
        <v>46192</v>
      </c>
      <c r="B173" s="17" t="str">
        <f ca="1">'[1]Jumbo Bus Date to PDD'!I174</f>
        <v xml:space="preserve"> </v>
      </c>
      <c r="C173" s="47" t="str">
        <f ca="1">'[1]Jumbo Bus Date to PDD'!J174</f>
        <v xml:space="preserve"> </v>
      </c>
      <c r="D173" s="47" t="str">
        <f ca="1">'[1]Jumbo Bus Date to PDD'!K174</f>
        <v xml:space="preserve"> </v>
      </c>
      <c r="E173" s="5" t="str">
        <f ca="1">'[1]Jumbo Bus Date to PDD'!L174</f>
        <v xml:space="preserve"> </v>
      </c>
    </row>
    <row r="174" spans="1:5" x14ac:dyDescent="0.25">
      <c r="A174" s="15">
        <f>'[1]Jumbo Bus Date to PDD'!H175</f>
        <v>46193</v>
      </c>
      <c r="B174" s="17" t="str">
        <f ca="1">'[1]Jumbo Bus Date to PDD'!I175</f>
        <v xml:space="preserve"> </v>
      </c>
      <c r="C174" s="47" t="str">
        <f ca="1">'[1]Jumbo Bus Date to PDD'!J175</f>
        <v xml:space="preserve"> </v>
      </c>
      <c r="D174" s="47" t="str">
        <f ca="1">'[1]Jumbo Bus Date to PDD'!K175</f>
        <v xml:space="preserve"> </v>
      </c>
      <c r="E174" s="5" t="str">
        <f ca="1">'[1]Jumbo Bus Date to PDD'!L175</f>
        <v xml:space="preserve"> </v>
      </c>
    </row>
    <row r="175" spans="1:5" x14ac:dyDescent="0.25">
      <c r="A175" s="15">
        <f>'[1]Jumbo Bus Date to PDD'!H176</f>
        <v>46194</v>
      </c>
      <c r="B175" s="17" t="str">
        <f ca="1">'[1]Jumbo Bus Date to PDD'!I176</f>
        <v xml:space="preserve"> </v>
      </c>
      <c r="C175" s="47" t="str">
        <f ca="1">'[1]Jumbo Bus Date to PDD'!J176</f>
        <v xml:space="preserve"> </v>
      </c>
      <c r="D175" s="47" t="str">
        <f ca="1">'[1]Jumbo Bus Date to PDD'!K176</f>
        <v xml:space="preserve"> </v>
      </c>
      <c r="E175" s="5" t="str">
        <f ca="1">'[1]Jumbo Bus Date to PDD'!L176</f>
        <v xml:space="preserve"> </v>
      </c>
    </row>
    <row r="176" spans="1:5" x14ac:dyDescent="0.25">
      <c r="A176" s="15">
        <f>'[1]Jumbo Bus Date to PDD'!H177</f>
        <v>46195</v>
      </c>
      <c r="B176" s="17" t="str">
        <f ca="1">'[1]Jumbo Bus Date to PDD'!I177</f>
        <v xml:space="preserve"> </v>
      </c>
      <c r="C176" s="47" t="str">
        <f ca="1">'[1]Jumbo Bus Date to PDD'!J177</f>
        <v xml:space="preserve"> </v>
      </c>
      <c r="D176" s="47" t="str">
        <f ca="1">'[1]Jumbo Bus Date to PDD'!K177</f>
        <v xml:space="preserve"> </v>
      </c>
      <c r="E176" s="5" t="str">
        <f ca="1">'[1]Jumbo Bus Date to PDD'!L177</f>
        <v xml:space="preserve"> </v>
      </c>
    </row>
    <row r="177" spans="1:5" x14ac:dyDescent="0.25">
      <c r="A177" s="15">
        <f>'[1]Jumbo Bus Date to PDD'!H178</f>
        <v>46196</v>
      </c>
      <c r="B177" s="17" t="str">
        <f ca="1">'[1]Jumbo Bus Date to PDD'!I178</f>
        <v xml:space="preserve"> </v>
      </c>
      <c r="C177" s="47" t="str">
        <f ca="1">'[1]Jumbo Bus Date to PDD'!J178</f>
        <v xml:space="preserve"> </v>
      </c>
      <c r="D177" s="47" t="str">
        <f ca="1">'[1]Jumbo Bus Date to PDD'!K178</f>
        <v xml:space="preserve"> </v>
      </c>
      <c r="E177" s="5" t="str">
        <f ca="1">'[1]Jumbo Bus Date to PDD'!L178</f>
        <v xml:space="preserve"> </v>
      </c>
    </row>
    <row r="178" spans="1:5" x14ac:dyDescent="0.25">
      <c r="A178" s="15">
        <f>'[1]Jumbo Bus Date to PDD'!H179</f>
        <v>46197</v>
      </c>
      <c r="B178" s="17" t="str">
        <f ca="1">'[1]Jumbo Bus Date to PDD'!I179</f>
        <v xml:space="preserve"> </v>
      </c>
      <c r="C178" s="47" t="str">
        <f ca="1">'[1]Jumbo Bus Date to PDD'!J179</f>
        <v xml:space="preserve"> </v>
      </c>
      <c r="D178" s="47" t="str">
        <f ca="1">'[1]Jumbo Bus Date to PDD'!K179</f>
        <v xml:space="preserve"> </v>
      </c>
      <c r="E178" s="5" t="str">
        <f ca="1">'[1]Jumbo Bus Date to PDD'!L179</f>
        <v xml:space="preserve"> </v>
      </c>
    </row>
    <row r="179" spans="1:5" x14ac:dyDescent="0.25">
      <c r="A179" s="15">
        <f>'[1]Jumbo Bus Date to PDD'!H180</f>
        <v>46198</v>
      </c>
      <c r="B179" s="17" t="str">
        <f ca="1">'[1]Jumbo Bus Date to PDD'!I180</f>
        <v xml:space="preserve"> </v>
      </c>
      <c r="C179" s="47" t="str">
        <f ca="1">'[1]Jumbo Bus Date to PDD'!J180</f>
        <v xml:space="preserve"> </v>
      </c>
      <c r="D179" s="47" t="str">
        <f ca="1">'[1]Jumbo Bus Date to PDD'!K180</f>
        <v xml:space="preserve"> </v>
      </c>
      <c r="E179" s="5" t="str">
        <f ca="1">'[1]Jumbo Bus Date to PDD'!L180</f>
        <v xml:space="preserve"> </v>
      </c>
    </row>
    <row r="180" spans="1:5" x14ac:dyDescent="0.25">
      <c r="A180" s="15">
        <f>'[1]Jumbo Bus Date to PDD'!H181</f>
        <v>46199</v>
      </c>
      <c r="B180" s="17" t="str">
        <f ca="1">'[1]Jumbo Bus Date to PDD'!I181</f>
        <v xml:space="preserve"> </v>
      </c>
      <c r="C180" s="47" t="str">
        <f ca="1">'[1]Jumbo Bus Date to PDD'!J181</f>
        <v xml:space="preserve"> </v>
      </c>
      <c r="D180" s="47" t="str">
        <f ca="1">'[1]Jumbo Bus Date to PDD'!K181</f>
        <v xml:space="preserve"> </v>
      </c>
      <c r="E180" s="5" t="str">
        <f ca="1">'[1]Jumbo Bus Date to PDD'!L181</f>
        <v xml:space="preserve"> </v>
      </c>
    </row>
    <row r="181" spans="1:5" x14ac:dyDescent="0.25">
      <c r="A181" s="15">
        <f>'[1]Jumbo Bus Date to PDD'!H182</f>
        <v>46200</v>
      </c>
      <c r="B181" s="17" t="str">
        <f ca="1">'[1]Jumbo Bus Date to PDD'!I182</f>
        <v xml:space="preserve"> </v>
      </c>
      <c r="C181" s="47" t="str">
        <f ca="1">'[1]Jumbo Bus Date to PDD'!J182</f>
        <v xml:space="preserve"> </v>
      </c>
      <c r="D181" s="47" t="str">
        <f ca="1">'[1]Jumbo Bus Date to PDD'!K182</f>
        <v xml:space="preserve"> </v>
      </c>
      <c r="E181" s="5" t="str">
        <f ca="1">'[1]Jumbo Bus Date to PDD'!L182</f>
        <v xml:space="preserve"> </v>
      </c>
    </row>
    <row r="182" spans="1:5" x14ac:dyDescent="0.25">
      <c r="A182" s="15">
        <f>'[1]Jumbo Bus Date to PDD'!H183</f>
        <v>46201</v>
      </c>
      <c r="B182" s="17" t="str">
        <f ca="1">'[1]Jumbo Bus Date to PDD'!I183</f>
        <v xml:space="preserve"> </v>
      </c>
      <c r="C182" s="47" t="str">
        <f ca="1">'[1]Jumbo Bus Date to PDD'!J183</f>
        <v xml:space="preserve"> </v>
      </c>
      <c r="D182" s="47" t="str">
        <f ca="1">'[1]Jumbo Bus Date to PDD'!K183</f>
        <v xml:space="preserve"> </v>
      </c>
      <c r="E182" s="5" t="str">
        <f ca="1">'[1]Jumbo Bus Date to PDD'!L183</f>
        <v xml:space="preserve"> </v>
      </c>
    </row>
    <row r="183" spans="1:5" x14ac:dyDescent="0.25">
      <c r="A183" s="15">
        <f>'[1]Jumbo Bus Date to PDD'!H184</f>
        <v>46202</v>
      </c>
      <c r="B183" s="17" t="str">
        <f ca="1">'[1]Jumbo Bus Date to PDD'!I184</f>
        <v xml:space="preserve"> </v>
      </c>
      <c r="C183" s="47" t="str">
        <f ca="1">'[1]Jumbo Bus Date to PDD'!J184</f>
        <v xml:space="preserve"> </v>
      </c>
      <c r="D183" s="47" t="str">
        <f ca="1">'[1]Jumbo Bus Date to PDD'!K184</f>
        <v xml:space="preserve"> </v>
      </c>
      <c r="E183" s="5" t="str">
        <f ca="1">'[1]Jumbo Bus Date to PDD'!L184</f>
        <v xml:space="preserve"> </v>
      </c>
    </row>
    <row r="184" spans="1:5" x14ac:dyDescent="0.25">
      <c r="A184" s="15">
        <f>'[1]Jumbo Bus Date to PDD'!H185</f>
        <v>46203</v>
      </c>
      <c r="B184" s="17" t="str">
        <f ca="1">'[1]Jumbo Bus Date to PDD'!I185</f>
        <v xml:space="preserve"> </v>
      </c>
      <c r="C184" s="47" t="str">
        <f ca="1">'[1]Jumbo Bus Date to PDD'!J185</f>
        <v xml:space="preserve"> </v>
      </c>
      <c r="D184" s="47" t="str">
        <f ca="1">'[1]Jumbo Bus Date to PDD'!K185</f>
        <v xml:space="preserve"> </v>
      </c>
      <c r="E184" s="5" t="str">
        <f ca="1">'[1]Jumbo Bus Date to PDD'!L185</f>
        <v xml:space="preserve"> </v>
      </c>
    </row>
    <row r="185" spans="1:5" x14ac:dyDescent="0.25">
      <c r="A185" s="15">
        <f>'[1]Jumbo Bus Date to PDD'!H186</f>
        <v>46204</v>
      </c>
      <c r="B185" s="17" t="str">
        <f ca="1">'[1]Jumbo Bus Date to PDD'!I186</f>
        <v xml:space="preserve"> </v>
      </c>
      <c r="C185" s="47" t="str">
        <f ca="1">'[1]Jumbo Bus Date to PDD'!J186</f>
        <v xml:space="preserve"> </v>
      </c>
      <c r="D185" s="47" t="str">
        <f ca="1">'[1]Jumbo Bus Date to PDD'!K186</f>
        <v xml:space="preserve"> </v>
      </c>
      <c r="E185" s="5" t="str">
        <f ca="1">'[1]Jumbo Bus Date to PDD'!L186</f>
        <v xml:space="preserve"> </v>
      </c>
    </row>
    <row r="186" spans="1:5" x14ac:dyDescent="0.25">
      <c r="A186" s="15">
        <f>'[1]Jumbo Bus Date to PDD'!H187</f>
        <v>46205</v>
      </c>
      <c r="B186" s="17" t="str">
        <f ca="1">'[1]Jumbo Bus Date to PDD'!I187</f>
        <v xml:space="preserve"> </v>
      </c>
      <c r="C186" s="47" t="str">
        <f ca="1">'[1]Jumbo Bus Date to PDD'!J187</f>
        <v xml:space="preserve"> </v>
      </c>
      <c r="D186" s="47" t="str">
        <f ca="1">'[1]Jumbo Bus Date to PDD'!K187</f>
        <v xml:space="preserve"> </v>
      </c>
      <c r="E186" s="5" t="str">
        <f ca="1">'[1]Jumbo Bus Date to PDD'!L187</f>
        <v xml:space="preserve"> </v>
      </c>
    </row>
    <row r="187" spans="1:5" x14ac:dyDescent="0.25">
      <c r="A187" s="15">
        <f>'[1]Jumbo Bus Date to PDD'!H188</f>
        <v>46206</v>
      </c>
      <c r="B187" s="17" t="str">
        <f ca="1">'[1]Jumbo Bus Date to PDD'!I188</f>
        <v xml:space="preserve"> </v>
      </c>
      <c r="C187" s="47" t="str">
        <f ca="1">'[1]Jumbo Bus Date to PDD'!J188</f>
        <v xml:space="preserve"> </v>
      </c>
      <c r="D187" s="47" t="str">
        <f ca="1">'[1]Jumbo Bus Date to PDD'!K188</f>
        <v xml:space="preserve"> </v>
      </c>
      <c r="E187" s="5" t="str">
        <f ca="1">'[1]Jumbo Bus Date to PDD'!L188</f>
        <v xml:space="preserve"> </v>
      </c>
    </row>
    <row r="188" spans="1:5" x14ac:dyDescent="0.25">
      <c r="A188" s="15">
        <f>'[1]Jumbo Bus Date to PDD'!H189</f>
        <v>46207</v>
      </c>
      <c r="B188" s="17" t="str">
        <f ca="1">'[1]Jumbo Bus Date to PDD'!I189</f>
        <v xml:space="preserve"> </v>
      </c>
      <c r="C188" s="47" t="str">
        <f ca="1">'[1]Jumbo Bus Date to PDD'!J189</f>
        <v xml:space="preserve"> </v>
      </c>
      <c r="D188" s="47" t="str">
        <f ca="1">'[1]Jumbo Bus Date to PDD'!K189</f>
        <v xml:space="preserve"> </v>
      </c>
      <c r="E188" s="5" t="str">
        <f ca="1">'[1]Jumbo Bus Date to PDD'!L189</f>
        <v xml:space="preserve"> </v>
      </c>
    </row>
    <row r="189" spans="1:5" x14ac:dyDescent="0.25">
      <c r="A189" s="15">
        <f>'[1]Jumbo Bus Date to PDD'!H190</f>
        <v>46208</v>
      </c>
      <c r="B189" s="17" t="str">
        <f ca="1">'[1]Jumbo Bus Date to PDD'!I190</f>
        <v xml:space="preserve"> </v>
      </c>
      <c r="C189" s="47" t="str">
        <f ca="1">'[1]Jumbo Bus Date to PDD'!J190</f>
        <v xml:space="preserve"> </v>
      </c>
      <c r="D189" s="47" t="str">
        <f ca="1">'[1]Jumbo Bus Date to PDD'!K190</f>
        <v xml:space="preserve"> </v>
      </c>
      <c r="E189" s="5" t="str">
        <f ca="1">'[1]Jumbo Bus Date to PDD'!L190</f>
        <v xml:space="preserve"> </v>
      </c>
    </row>
    <row r="190" spans="1:5" x14ac:dyDescent="0.25">
      <c r="A190" s="15">
        <f>'[1]Jumbo Bus Date to PDD'!H191</f>
        <v>46209</v>
      </c>
      <c r="B190" s="17" t="str">
        <f ca="1">'[1]Jumbo Bus Date to PDD'!I191</f>
        <v xml:space="preserve"> </v>
      </c>
      <c r="C190" s="47" t="str">
        <f ca="1">'[1]Jumbo Bus Date to PDD'!J191</f>
        <v xml:space="preserve"> </v>
      </c>
      <c r="D190" s="47" t="str">
        <f ca="1">'[1]Jumbo Bus Date to PDD'!K191</f>
        <v xml:space="preserve"> </v>
      </c>
      <c r="E190" s="5" t="str">
        <f ca="1">'[1]Jumbo Bus Date to PDD'!L191</f>
        <v xml:space="preserve"> </v>
      </c>
    </row>
    <row r="191" spans="1:5" x14ac:dyDescent="0.25">
      <c r="A191" s="15">
        <f>'[1]Jumbo Bus Date to PDD'!H192</f>
        <v>46210</v>
      </c>
      <c r="B191" s="17" t="str">
        <f ca="1">'[1]Jumbo Bus Date to PDD'!I192</f>
        <v xml:space="preserve"> </v>
      </c>
      <c r="C191" s="47" t="str">
        <f ca="1">'[1]Jumbo Bus Date to PDD'!J192</f>
        <v xml:space="preserve"> </v>
      </c>
      <c r="D191" s="47" t="str">
        <f ca="1">'[1]Jumbo Bus Date to PDD'!K192</f>
        <v xml:space="preserve"> </v>
      </c>
      <c r="E191" s="5" t="str">
        <f ca="1">'[1]Jumbo Bus Date to PDD'!L192</f>
        <v xml:space="preserve"> </v>
      </c>
    </row>
    <row r="192" spans="1:5" x14ac:dyDescent="0.25">
      <c r="A192" s="15">
        <f>'[1]Jumbo Bus Date to PDD'!H193</f>
        <v>46211</v>
      </c>
      <c r="B192" s="17" t="str">
        <f ca="1">'[1]Jumbo Bus Date to PDD'!I193</f>
        <v xml:space="preserve"> </v>
      </c>
      <c r="C192" s="47" t="str">
        <f ca="1">'[1]Jumbo Bus Date to PDD'!J193</f>
        <v xml:space="preserve"> </v>
      </c>
      <c r="D192" s="47" t="str">
        <f ca="1">'[1]Jumbo Bus Date to PDD'!K193</f>
        <v xml:space="preserve"> </v>
      </c>
      <c r="E192" s="5" t="str">
        <f ca="1">'[1]Jumbo Bus Date to PDD'!L193</f>
        <v xml:space="preserve"> </v>
      </c>
    </row>
    <row r="193" spans="1:5" x14ac:dyDescent="0.2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2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2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2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2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2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2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2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2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2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2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2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2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2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2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2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2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2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2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2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2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2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2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2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2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2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2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2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2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2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2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2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2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2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2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2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2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2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2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2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2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2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2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2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2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2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2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2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2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2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2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2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2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2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2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2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2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2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2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2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2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2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2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2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2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2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2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2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2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2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2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2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2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2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2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2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2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2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2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2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2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2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2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2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2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2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2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2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2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2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2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2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2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2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2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2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2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2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2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2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2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2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2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2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2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2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2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2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2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2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2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2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2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2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2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2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2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2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2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2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2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2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2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2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2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2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2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2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2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2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2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2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2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2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2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2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2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2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2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2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2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2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2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2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2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2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2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2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2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2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2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2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2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2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2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2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2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2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2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2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2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2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2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2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2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2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2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2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2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2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2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2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2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2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2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2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2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25">
      <c r="A370" s="15"/>
    </row>
    <row r="371" spans="1:5" x14ac:dyDescent="0.25">
      <c r="A371" s="15"/>
    </row>
    <row r="372" spans="1:5" x14ac:dyDescent="0.25">
      <c r="A372" s="15"/>
    </row>
    <row r="373" spans="1:5" x14ac:dyDescent="0.25">
      <c r="A373" s="15"/>
    </row>
    <row r="374" spans="1:5" x14ac:dyDescent="0.25">
      <c r="A374" s="15"/>
    </row>
    <row r="375" spans="1:5" x14ac:dyDescent="0.25">
      <c r="A375" s="15"/>
    </row>
    <row r="376" spans="1:5" x14ac:dyDescent="0.25">
      <c r="A376" s="15"/>
    </row>
    <row r="377" spans="1:5" x14ac:dyDescent="0.25">
      <c r="A377" s="15"/>
    </row>
    <row r="378" spans="1:5" x14ac:dyDescent="0.25">
      <c r="A378" s="15"/>
    </row>
    <row r="379" spans="1:5" x14ac:dyDescent="0.25">
      <c r="A379" s="15"/>
    </row>
    <row r="380" spans="1:5" x14ac:dyDescent="0.2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7" sqref="B7"/>
    </sheetView>
  </sheetViews>
  <sheetFormatPr defaultRowHeight="15" x14ac:dyDescent="0.25"/>
  <cols>
    <col min="1" max="1" width="23" customWidth="1"/>
    <col min="2" max="5" width="13.42578125" customWidth="1"/>
  </cols>
  <sheetData>
    <row r="1" spans="1:5" x14ac:dyDescent="0.25">
      <c r="A1" s="54" t="s">
        <v>8</v>
      </c>
      <c r="B1" s="55"/>
      <c r="C1" s="55"/>
      <c r="D1" s="55"/>
      <c r="E1" s="56"/>
    </row>
    <row r="2" spans="1:5" x14ac:dyDescent="0.25">
      <c r="A2" s="1"/>
      <c r="B2" s="2"/>
      <c r="C2" s="2"/>
      <c r="D2" s="2"/>
      <c r="E2" s="3"/>
    </row>
    <row r="3" spans="1:5" x14ac:dyDescent="0.25">
      <c r="A3" s="4"/>
      <c r="B3" s="51" t="s">
        <v>5</v>
      </c>
      <c r="C3" s="52"/>
      <c r="D3" s="52"/>
      <c r="E3" s="53"/>
    </row>
    <row r="4" spans="1:5" x14ac:dyDescent="0.25">
      <c r="A4" s="13" t="s">
        <v>6</v>
      </c>
      <c r="B4" s="8"/>
      <c r="C4" s="8"/>
      <c r="D4" s="8"/>
      <c r="E4" s="8"/>
    </row>
    <row r="5" spans="1:5" x14ac:dyDescent="0.2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2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25">
      <c r="A7" s="6" t="str">
        <f>TEXT(DATE([1]!Year_of_Valuation,4,1),"m/d/yyyy") &amp;" - " &amp;TEXT(DATE([1]!Year_of_Valuation,6,30),"m/d/yyyy")</f>
        <v>4/1/2026 - 6/30/2026</v>
      </c>
      <c r="B7" s="9">
        <f ca="1">IF(ISNA('[1]Non-Jumbo Rates'!$D$19),"",'[1]Non-Jumbo Rates'!$D$19)</f>
        <v>0.04</v>
      </c>
      <c r="C7" s="9">
        <f ca="1">IF(ISNA('[1]Non-Jumbo Rates'!$D$20),"",'[1]Non-Jumbo Rates'!$D$20)</f>
        <v>4.2500000000000003E-2</v>
      </c>
      <c r="D7" s="10">
        <f ca="1">IF(ISNA('[1]Non-Jumbo Rates'!$D$21),"",'[1]Non-Jumbo Rates'!$D$21)</f>
        <v>4.7500000000000001E-2</v>
      </c>
      <c r="E7" s="9">
        <f ca="1">IF(ISNA('[1]Non-Jumbo Rates'!$D$22),"",'[1]Non-Jumbo Rates'!$D$22)</f>
        <v>0.05</v>
      </c>
    </row>
    <row r="8" spans="1:5" ht="18" customHeight="1" x14ac:dyDescent="0.25">
      <c r="A8" s="6" t="str">
        <f>TEXT(DATE([1]!Year_of_Valuation,7,1),"m/d/yyyy") &amp;" - " &amp;TEXT(DATE([1]!Year_of_Valuation,9,30),"m/d/yyyy")</f>
        <v>7/1/2026 - 9/30/2026</v>
      </c>
      <c r="B8" s="50" t="str">
        <f ca="1">IF(ISNA('[1]Non-Jumbo Rates'!$D$24),"",'[1]Non-Jumbo Rates'!$D$24)</f>
        <v/>
      </c>
      <c r="C8" s="9" t="str">
        <f ca="1">IF(ISNA('[1]Non-Jumbo Rates'!$D$25),"",'[1]Non-Jumbo Rates'!$D$25)</f>
        <v/>
      </c>
      <c r="D8" s="10" t="str">
        <f ca="1">IF(ISNA('[1]Non-Jumbo Rates'!$D$26),"",'[1]Non-Jumbo Rates'!$D$26)</f>
        <v/>
      </c>
      <c r="E8" s="9" t="str">
        <f ca="1">IF(ISNA('[1]Non-Jumbo Rates'!$D$27),"",'[1]Non-Jumbo Rates'!$D$27)</f>
        <v/>
      </c>
    </row>
    <row r="9" spans="1:5" ht="18" customHeight="1" x14ac:dyDescent="0.2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2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5546875" defaultRowHeight="15" x14ac:dyDescent="0.25"/>
  <cols>
    <col min="2" max="7" width="16" customWidth="1"/>
    <col min="8" max="9" width="13.140625" bestFit="1" customWidth="1"/>
  </cols>
  <sheetData>
    <row r="1" spans="1:9" x14ac:dyDescent="0.25">
      <c r="A1" s="60" t="s">
        <v>41</v>
      </c>
      <c r="B1" s="60"/>
      <c r="C1" s="60"/>
      <c r="D1" s="60"/>
      <c r="E1" s="60"/>
    </row>
    <row r="2" spans="1:9" x14ac:dyDescent="0.25">
      <c r="A2" s="60" t="s">
        <v>42</v>
      </c>
      <c r="B2" s="60"/>
      <c r="C2" s="60"/>
      <c r="D2" s="60"/>
      <c r="E2" s="60"/>
    </row>
    <row r="3" spans="1:9" x14ac:dyDescent="0.25">
      <c r="A3" t="s">
        <v>37</v>
      </c>
    </row>
    <row r="4" spans="1:9" x14ac:dyDescent="0.25">
      <c r="A4" s="51" t="s">
        <v>9</v>
      </c>
      <c r="B4" s="52"/>
      <c r="C4" s="52"/>
      <c r="D4" s="52"/>
      <c r="E4" s="53"/>
    </row>
    <row r="5" spans="1:9" x14ac:dyDescent="0.2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2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2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2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2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25">
      <c r="A10" s="22"/>
      <c r="B10" s="22"/>
      <c r="C10" s="22"/>
      <c r="D10" s="22"/>
      <c r="E10" s="22"/>
      <c r="F10" s="22"/>
    </row>
    <row r="11" spans="1:9" x14ac:dyDescent="0.25">
      <c r="A11" s="22"/>
      <c r="B11" s="22"/>
      <c r="C11" s="22"/>
      <c r="D11" s="22"/>
      <c r="E11" s="22"/>
      <c r="F11" s="22"/>
    </row>
    <row r="12" spans="1:9" x14ac:dyDescent="0.25">
      <c r="A12" t="s">
        <v>38</v>
      </c>
      <c r="B12" s="22"/>
      <c r="C12" s="22"/>
      <c r="D12" s="22"/>
      <c r="E12" s="22"/>
      <c r="F12" s="22"/>
    </row>
    <row r="13" spans="1:9" x14ac:dyDescent="0.25">
      <c r="A13" s="57" t="s">
        <v>9</v>
      </c>
      <c r="B13" s="58"/>
      <c r="C13" s="58"/>
      <c r="D13" s="58"/>
      <c r="E13" s="59"/>
      <c r="F13" s="22"/>
    </row>
    <row r="14" spans="1:9" x14ac:dyDescent="0.2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2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2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2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2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25">
      <c r="A19" s="22"/>
      <c r="B19" s="22"/>
      <c r="C19" s="22"/>
      <c r="D19" s="22"/>
      <c r="E19" s="22"/>
      <c r="F19" s="22"/>
    </row>
    <row r="20" spans="1:13" x14ac:dyDescent="0.25">
      <c r="A20" s="22"/>
      <c r="B20" s="22"/>
      <c r="C20" s="22"/>
      <c r="D20" s="22"/>
      <c r="E20" s="22"/>
      <c r="F20" s="22"/>
    </row>
    <row r="21" spans="1:13" x14ac:dyDescent="0.25">
      <c r="A21" t="s">
        <v>39</v>
      </c>
      <c r="B21" s="22"/>
      <c r="C21" s="22"/>
      <c r="D21" s="22"/>
      <c r="E21" s="22"/>
      <c r="F21" s="22"/>
    </row>
    <row r="22" spans="1:13" x14ac:dyDescent="0.25">
      <c r="A22" s="57" t="s">
        <v>9</v>
      </c>
      <c r="B22" s="58"/>
      <c r="C22" s="58"/>
      <c r="D22" s="59"/>
      <c r="E22" s="22"/>
      <c r="F22" s="22"/>
    </row>
    <row r="23" spans="1:13" x14ac:dyDescent="0.2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2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2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2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2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25">
      <c r="A28" s="22"/>
      <c r="B28" s="22"/>
      <c r="C28" s="22"/>
      <c r="D28" s="22"/>
      <c r="E28" s="22"/>
      <c r="F28" s="22"/>
      <c r="G28" s="22"/>
    </row>
    <row r="29" spans="1:13" x14ac:dyDescent="0.25">
      <c r="A29" t="s">
        <v>40</v>
      </c>
      <c r="B29" s="22"/>
      <c r="C29" s="22"/>
      <c r="D29" s="22"/>
      <c r="E29" s="22"/>
      <c r="F29" s="22"/>
      <c r="G29" s="22"/>
    </row>
    <row r="30" spans="1:13" x14ac:dyDescent="0.25">
      <c r="A30" s="57" t="s">
        <v>9</v>
      </c>
      <c r="B30" s="58"/>
      <c r="C30" s="58"/>
      <c r="D30" s="58"/>
      <c r="E30" s="58"/>
      <c r="F30" s="58"/>
      <c r="G30" s="59"/>
    </row>
    <row r="31" spans="1:13" x14ac:dyDescent="0.2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2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2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2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2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5" x14ac:dyDescent="0.25"/>
  <cols>
    <col min="1" max="1" width="11.5703125" customWidth="1"/>
    <col min="13" max="13" width="11.5703125" bestFit="1" customWidth="1"/>
    <col min="25" max="25" width="13" customWidth="1"/>
    <col min="37" max="37" width="13" customWidth="1"/>
  </cols>
  <sheetData>
    <row r="1" spans="1:47" x14ac:dyDescent="0.25">
      <c r="A1" s="65" t="str" cm="1">
        <f t="array" ref="A1">TEXT([1]!Year_of_Valuation,"0000")&amp; " Q1 VM - V Table X"</f>
        <v>2026 Q1 VM - V Table X</v>
      </c>
      <c r="B1" s="66"/>
      <c r="C1" s="66"/>
      <c r="D1" s="66"/>
      <c r="E1" s="66"/>
      <c r="F1" s="66"/>
      <c r="G1" s="66"/>
      <c r="H1" s="66"/>
      <c r="I1" s="66"/>
      <c r="J1" s="66"/>
      <c r="K1" s="67"/>
      <c r="M1" s="65" t="str" cm="1">
        <f t="array" ref="M1">TEXT([1]!Year_of_Valuation,"0000")&amp; " Q2 VM - 22 Table X"</f>
        <v>2026 Q2 VM - 22 Table X</v>
      </c>
      <c r="N1" s="66"/>
      <c r="O1" s="66"/>
      <c r="P1" s="66"/>
      <c r="Q1" s="66"/>
      <c r="R1" s="66"/>
      <c r="S1" s="66"/>
      <c r="T1" s="66"/>
      <c r="U1" s="66"/>
      <c r="V1" s="66"/>
      <c r="W1" s="67"/>
      <c r="Y1" s="65" t="str" cm="1">
        <f t="array" ref="Y1">TEXT([1]!Year_of_Valuation,"0000")&amp; " Q3 VM - 22 Table X"</f>
        <v>2026 Q3 VM - 22 Table X</v>
      </c>
      <c r="Z1" s="66"/>
      <c r="AA1" s="66"/>
      <c r="AB1" s="66"/>
      <c r="AC1" s="66"/>
      <c r="AD1" s="66"/>
      <c r="AE1" s="66"/>
      <c r="AF1" s="66"/>
      <c r="AG1" s="66"/>
      <c r="AH1" s="66"/>
      <c r="AI1" s="67"/>
      <c r="AK1" s="65" t="str" cm="1">
        <f t="array" ref="AK1">TEXT([1]!Year_of_Valuation,"0000")&amp; " Q4 VM - 22 Table X"</f>
        <v>2026 Q4 VM - 22 Table X</v>
      </c>
      <c r="AL1" s="66"/>
      <c r="AM1" s="66"/>
      <c r="AN1" s="66"/>
      <c r="AO1" s="66"/>
      <c r="AP1" s="66"/>
      <c r="AQ1" s="66"/>
      <c r="AR1" s="66"/>
      <c r="AS1" s="66"/>
      <c r="AT1" s="66"/>
      <c r="AU1" s="67"/>
    </row>
    <row r="2" spans="1:47" x14ac:dyDescent="0.25">
      <c r="A2" s="61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2"/>
      <c r="C2" s="62"/>
      <c r="D2" s="62"/>
      <c r="E2" s="62"/>
      <c r="F2" s="62"/>
      <c r="G2" s="62"/>
      <c r="H2" s="62"/>
      <c r="I2" s="62"/>
      <c r="J2" s="62"/>
      <c r="K2" s="63"/>
      <c r="M2" s="61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2"/>
      <c r="O2" s="62"/>
      <c r="P2" s="62"/>
      <c r="Q2" s="62"/>
      <c r="R2" s="62"/>
      <c r="S2" s="62"/>
      <c r="T2" s="62"/>
      <c r="U2" s="62"/>
      <c r="V2" s="62"/>
      <c r="W2" s="63"/>
      <c r="Y2" s="61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2"/>
      <c r="AA2" s="62"/>
      <c r="AB2" s="62"/>
      <c r="AC2" s="62"/>
      <c r="AD2" s="62"/>
      <c r="AE2" s="62"/>
      <c r="AF2" s="62"/>
      <c r="AG2" s="62"/>
      <c r="AH2" s="62"/>
      <c r="AI2" s="63"/>
      <c r="AK2" s="61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2"/>
      <c r="AM2" s="62"/>
      <c r="AN2" s="62"/>
      <c r="AO2" s="62"/>
      <c r="AP2" s="62"/>
      <c r="AQ2" s="62"/>
      <c r="AR2" s="62"/>
      <c r="AS2" s="62"/>
      <c r="AT2" s="62"/>
      <c r="AU2" s="63"/>
    </row>
    <row r="3" spans="1:47" x14ac:dyDescent="0.25">
      <c r="A3" s="40" t="s">
        <v>22</v>
      </c>
      <c r="B3" s="64" t="s">
        <v>23</v>
      </c>
      <c r="C3" s="64"/>
      <c r="D3" s="64"/>
      <c r="E3" s="64"/>
      <c r="F3" s="64"/>
      <c r="G3" s="64"/>
      <c r="H3" s="64"/>
      <c r="I3" s="64"/>
      <c r="J3" s="64"/>
      <c r="K3" s="64"/>
      <c r="M3" s="40" t="s">
        <v>22</v>
      </c>
      <c r="N3" s="64" t="s">
        <v>23</v>
      </c>
      <c r="O3" s="64"/>
      <c r="P3" s="64"/>
      <c r="Q3" s="64"/>
      <c r="R3" s="64"/>
      <c r="S3" s="64"/>
      <c r="T3" s="64"/>
      <c r="U3" s="64"/>
      <c r="V3" s="64"/>
      <c r="W3" s="64"/>
      <c r="Y3" s="40" t="s">
        <v>22</v>
      </c>
      <c r="Z3" s="64" t="s">
        <v>23</v>
      </c>
      <c r="AA3" s="64"/>
      <c r="AB3" s="64"/>
      <c r="AC3" s="64"/>
      <c r="AD3" s="64"/>
      <c r="AE3" s="64"/>
      <c r="AF3" s="64"/>
      <c r="AG3" s="64"/>
      <c r="AH3" s="64"/>
      <c r="AI3" s="64"/>
      <c r="AK3" s="40" t="s">
        <v>22</v>
      </c>
      <c r="AL3" s="64" t="s">
        <v>23</v>
      </c>
      <c r="AM3" s="64"/>
      <c r="AN3" s="64"/>
      <c r="AO3" s="64"/>
      <c r="AP3" s="64"/>
      <c r="AQ3" s="64"/>
      <c r="AR3" s="64"/>
      <c r="AS3" s="64"/>
      <c r="AT3" s="64"/>
      <c r="AU3" s="64"/>
    </row>
    <row r="4" spans="1:47" x14ac:dyDescent="0.2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2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2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>
        <f>IF('[1]Spreads VM-V Table X'!Z6=0,"",'[1]Spreads VM-V Table X'!Z6)</f>
        <v>11.56</v>
      </c>
      <c r="O6" s="44">
        <f>IF('[1]Spreads VM-V Table X'!AA6=0,"",'[1]Spreads VM-V Table X'!AA6)</f>
        <v>18.23</v>
      </c>
      <c r="P6" s="44">
        <f>IF('[1]Spreads VM-V Table X'!AB6=0,"",'[1]Spreads VM-V Table X'!AB6)</f>
        <v>24.9</v>
      </c>
      <c r="Q6" s="44">
        <f>IF('[1]Spreads VM-V Table X'!AC6=0,"",'[1]Spreads VM-V Table X'!AC6)</f>
        <v>30.77</v>
      </c>
      <c r="R6" s="44">
        <f>IF('[1]Spreads VM-V Table X'!AD6=0,"",'[1]Spreads VM-V Table X'!AD6)</f>
        <v>36.630000000000003</v>
      </c>
      <c r="S6" s="44">
        <f>IF('[1]Spreads VM-V Table X'!AE6=0,"",'[1]Spreads VM-V Table X'!AE6)</f>
        <v>42.5</v>
      </c>
      <c r="T6" s="44">
        <f>IF('[1]Spreads VM-V Table X'!AF6=0,"",'[1]Spreads VM-V Table X'!AF6)</f>
        <v>50.1</v>
      </c>
      <c r="U6" s="44">
        <f>IF('[1]Spreads VM-V Table X'!AG6=0,"",'[1]Spreads VM-V Table X'!AG6)</f>
        <v>57.71</v>
      </c>
      <c r="V6" s="44">
        <f>IF('[1]Spreads VM-V Table X'!AH6=0,"",'[1]Spreads VM-V Table X'!AH6)</f>
        <v>65.319999999999993</v>
      </c>
      <c r="W6" s="44">
        <f>IF('[1]Spreads VM-V Table X'!AI6=0,"",'[1]Spreads VM-V Table X'!AI6)</f>
        <v>103.23</v>
      </c>
      <c r="Y6" s="42">
        <v>1</v>
      </c>
      <c r="Z6" s="44" t="str">
        <f>IF('[1]Spreads VM-V Table X'!AL6=0,"",'[1]Spreads VM-V Table X'!AL6)</f>
        <v/>
      </c>
      <c r="AA6" s="44" t="str">
        <f>IF('[1]Spreads VM-V Table X'!AM6=0,"",'[1]Spreads VM-V Table X'!AM6)</f>
        <v/>
      </c>
      <c r="AB6" s="44" t="str">
        <f>IF('[1]Spreads VM-V Table X'!AN6=0,"",'[1]Spreads VM-V Table X'!AN6)</f>
        <v/>
      </c>
      <c r="AC6" s="44" t="str">
        <f>IF('[1]Spreads VM-V Table X'!AO6=0,"",'[1]Spreads VM-V Table X'!AO6)</f>
        <v/>
      </c>
      <c r="AD6" s="44" t="str">
        <f>IF('[1]Spreads VM-V Table X'!AP6=0,"",'[1]Spreads VM-V Table X'!AP6)</f>
        <v/>
      </c>
      <c r="AE6" s="44" t="str">
        <f>IF('[1]Spreads VM-V Table X'!AQ6=0,"",'[1]Spreads VM-V Table X'!AQ6)</f>
        <v/>
      </c>
      <c r="AF6" s="44" t="str">
        <f>IF('[1]Spreads VM-V Table X'!AR6=0,"",'[1]Spreads VM-V Table X'!AR6)</f>
        <v/>
      </c>
      <c r="AG6" s="44" t="str">
        <f>IF('[1]Spreads VM-V Table X'!AS6=0,"",'[1]Spreads VM-V Table X'!AS6)</f>
        <v/>
      </c>
      <c r="AH6" s="44" t="str">
        <f>IF('[1]Spreads VM-V Table X'!AT6=0,"",'[1]Spreads VM-V Table X'!AT6)</f>
        <v/>
      </c>
      <c r="AI6" s="44" t="str">
        <f>IF('[1]Spreads VM-V Table X'!AU6=0,"",'[1]Spreads VM-V Table X'!AU6)</f>
        <v/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2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>
        <f>IF('[1]Spreads VM-V Table X'!Z7=0,"",'[1]Spreads VM-V Table X'!Z7)</f>
        <v>14.38</v>
      </c>
      <c r="O7" s="44">
        <f>IF('[1]Spreads VM-V Table X'!AA7=0,"",'[1]Spreads VM-V Table X'!AA7)</f>
        <v>22.17</v>
      </c>
      <c r="P7" s="44">
        <f>IF('[1]Spreads VM-V Table X'!AB7=0,"",'[1]Spreads VM-V Table X'!AB7)</f>
        <v>29.96</v>
      </c>
      <c r="Q7" s="44">
        <f>IF('[1]Spreads VM-V Table X'!AC7=0,"",'[1]Spreads VM-V Table X'!AC7)</f>
        <v>36.04</v>
      </c>
      <c r="R7" s="44">
        <f>IF('[1]Spreads VM-V Table X'!AD7=0,"",'[1]Spreads VM-V Table X'!AD7)</f>
        <v>42.12</v>
      </c>
      <c r="S7" s="44">
        <f>IF('[1]Spreads VM-V Table X'!AE7=0,"",'[1]Spreads VM-V Table X'!AE7)</f>
        <v>48.2</v>
      </c>
      <c r="T7" s="44">
        <f>IF('[1]Spreads VM-V Table X'!AF7=0,"",'[1]Spreads VM-V Table X'!AF7)</f>
        <v>56.92</v>
      </c>
      <c r="U7" s="44">
        <f>IF('[1]Spreads VM-V Table X'!AG7=0,"",'[1]Spreads VM-V Table X'!AG7)</f>
        <v>65.63</v>
      </c>
      <c r="V7" s="44">
        <f>IF('[1]Spreads VM-V Table X'!AH7=0,"",'[1]Spreads VM-V Table X'!AH7)</f>
        <v>74.34</v>
      </c>
      <c r="W7" s="44">
        <f>IF('[1]Spreads VM-V Table X'!AI7=0,"",'[1]Spreads VM-V Table X'!AI7)</f>
        <v>107.74</v>
      </c>
      <c r="Y7" s="42">
        <v>2</v>
      </c>
      <c r="Z7" s="44" t="str">
        <f>IF('[1]Spreads VM-V Table X'!AL7=0,"",'[1]Spreads VM-V Table X'!AL7)</f>
        <v/>
      </c>
      <c r="AA7" s="44" t="str">
        <f>IF('[1]Spreads VM-V Table X'!AM7=0,"",'[1]Spreads VM-V Table X'!AM7)</f>
        <v/>
      </c>
      <c r="AB7" s="44" t="str">
        <f>IF('[1]Spreads VM-V Table X'!AN7=0,"",'[1]Spreads VM-V Table X'!AN7)</f>
        <v/>
      </c>
      <c r="AC7" s="44" t="str">
        <f>IF('[1]Spreads VM-V Table X'!AO7=0,"",'[1]Spreads VM-V Table X'!AO7)</f>
        <v/>
      </c>
      <c r="AD7" s="44" t="str">
        <f>IF('[1]Spreads VM-V Table X'!AP7=0,"",'[1]Spreads VM-V Table X'!AP7)</f>
        <v/>
      </c>
      <c r="AE7" s="44" t="str">
        <f>IF('[1]Spreads VM-V Table X'!AQ7=0,"",'[1]Spreads VM-V Table X'!AQ7)</f>
        <v/>
      </c>
      <c r="AF7" s="44" t="str">
        <f>IF('[1]Spreads VM-V Table X'!AR7=0,"",'[1]Spreads VM-V Table X'!AR7)</f>
        <v/>
      </c>
      <c r="AG7" s="44" t="str">
        <f>IF('[1]Spreads VM-V Table X'!AS7=0,"",'[1]Spreads VM-V Table X'!AS7)</f>
        <v/>
      </c>
      <c r="AH7" s="44" t="str">
        <f>IF('[1]Spreads VM-V Table X'!AT7=0,"",'[1]Spreads VM-V Table X'!AT7)</f>
        <v/>
      </c>
      <c r="AI7" s="44" t="str">
        <f>IF('[1]Spreads VM-V Table X'!AU7=0,"",'[1]Spreads VM-V Table X'!AU7)</f>
        <v/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2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>
        <f>IF('[1]Spreads VM-V Table X'!Z8=0,"",'[1]Spreads VM-V Table X'!Z8)</f>
        <v>17.2</v>
      </c>
      <c r="O8" s="44">
        <f>IF('[1]Spreads VM-V Table X'!AA8=0,"",'[1]Spreads VM-V Table X'!AA8)</f>
        <v>26.11</v>
      </c>
      <c r="P8" s="44">
        <f>IF('[1]Spreads VM-V Table X'!AB8=0,"",'[1]Spreads VM-V Table X'!AB8)</f>
        <v>35.01</v>
      </c>
      <c r="Q8" s="44">
        <f>IF('[1]Spreads VM-V Table X'!AC8=0,"",'[1]Spreads VM-V Table X'!AC8)</f>
        <v>41.31</v>
      </c>
      <c r="R8" s="44">
        <f>IF('[1]Spreads VM-V Table X'!AD8=0,"",'[1]Spreads VM-V Table X'!AD8)</f>
        <v>47.61</v>
      </c>
      <c r="S8" s="44">
        <f>IF('[1]Spreads VM-V Table X'!AE8=0,"",'[1]Spreads VM-V Table X'!AE8)</f>
        <v>53.91</v>
      </c>
      <c r="T8" s="44">
        <f>IF('[1]Spreads VM-V Table X'!AF8=0,"",'[1]Spreads VM-V Table X'!AF8)</f>
        <v>63.73</v>
      </c>
      <c r="U8" s="44">
        <f>IF('[1]Spreads VM-V Table X'!AG8=0,"",'[1]Spreads VM-V Table X'!AG8)</f>
        <v>73.55</v>
      </c>
      <c r="V8" s="44">
        <f>IF('[1]Spreads VM-V Table X'!AH8=0,"",'[1]Spreads VM-V Table X'!AH8)</f>
        <v>83.37</v>
      </c>
      <c r="W8" s="44">
        <f>IF('[1]Spreads VM-V Table X'!AI8=0,"",'[1]Spreads VM-V Table X'!AI8)</f>
        <v>112.25</v>
      </c>
      <c r="Y8" s="42">
        <v>3</v>
      </c>
      <c r="Z8" s="44" t="str">
        <f>IF('[1]Spreads VM-V Table X'!AL8=0,"",'[1]Spreads VM-V Table X'!AL8)</f>
        <v/>
      </c>
      <c r="AA8" s="44" t="str">
        <f>IF('[1]Spreads VM-V Table X'!AM8=0,"",'[1]Spreads VM-V Table X'!AM8)</f>
        <v/>
      </c>
      <c r="AB8" s="44" t="str">
        <f>IF('[1]Spreads VM-V Table X'!AN8=0,"",'[1]Spreads VM-V Table X'!AN8)</f>
        <v/>
      </c>
      <c r="AC8" s="44" t="str">
        <f>IF('[1]Spreads VM-V Table X'!AO8=0,"",'[1]Spreads VM-V Table X'!AO8)</f>
        <v/>
      </c>
      <c r="AD8" s="44" t="str">
        <f>IF('[1]Spreads VM-V Table X'!AP8=0,"",'[1]Spreads VM-V Table X'!AP8)</f>
        <v/>
      </c>
      <c r="AE8" s="44" t="str">
        <f>IF('[1]Spreads VM-V Table X'!AQ8=0,"",'[1]Spreads VM-V Table X'!AQ8)</f>
        <v/>
      </c>
      <c r="AF8" s="44" t="str">
        <f>IF('[1]Spreads VM-V Table X'!AR8=0,"",'[1]Spreads VM-V Table X'!AR8)</f>
        <v/>
      </c>
      <c r="AG8" s="44" t="str">
        <f>IF('[1]Spreads VM-V Table X'!AS8=0,"",'[1]Spreads VM-V Table X'!AS8)</f>
        <v/>
      </c>
      <c r="AH8" s="44" t="str">
        <f>IF('[1]Spreads VM-V Table X'!AT8=0,"",'[1]Spreads VM-V Table X'!AT8)</f>
        <v/>
      </c>
      <c r="AI8" s="44" t="str">
        <f>IF('[1]Spreads VM-V Table X'!AU8=0,"",'[1]Spreads VM-V Table X'!AU8)</f>
        <v/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2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>
        <f>IF('[1]Spreads VM-V Table X'!Z9=0,"",'[1]Spreads VM-V Table X'!Z9)</f>
        <v>20.03</v>
      </c>
      <c r="O9" s="44">
        <f>IF('[1]Spreads VM-V Table X'!AA9=0,"",'[1]Spreads VM-V Table X'!AA9)</f>
        <v>30.05</v>
      </c>
      <c r="P9" s="44">
        <f>IF('[1]Spreads VM-V Table X'!AB9=0,"",'[1]Spreads VM-V Table X'!AB9)</f>
        <v>40.07</v>
      </c>
      <c r="Q9" s="44">
        <f>IF('[1]Spreads VM-V Table X'!AC9=0,"",'[1]Spreads VM-V Table X'!AC9)</f>
        <v>46.59</v>
      </c>
      <c r="R9" s="44">
        <f>IF('[1]Spreads VM-V Table X'!AD9=0,"",'[1]Spreads VM-V Table X'!AD9)</f>
        <v>53.1</v>
      </c>
      <c r="S9" s="44">
        <f>IF('[1]Spreads VM-V Table X'!AE9=0,"",'[1]Spreads VM-V Table X'!AE9)</f>
        <v>59.62</v>
      </c>
      <c r="T9" s="44">
        <f>IF('[1]Spreads VM-V Table X'!AF9=0,"",'[1]Spreads VM-V Table X'!AF9)</f>
        <v>70.540000000000006</v>
      </c>
      <c r="U9" s="44">
        <f>IF('[1]Spreads VM-V Table X'!AG9=0,"",'[1]Spreads VM-V Table X'!AG9)</f>
        <v>81.47</v>
      </c>
      <c r="V9" s="44">
        <f>IF('[1]Spreads VM-V Table X'!AH9=0,"",'[1]Spreads VM-V Table X'!AH9)</f>
        <v>92.39</v>
      </c>
      <c r="W9" s="44">
        <f>IF('[1]Spreads VM-V Table X'!AI9=0,"",'[1]Spreads VM-V Table X'!AI9)</f>
        <v>116.76</v>
      </c>
      <c r="Y9" s="42">
        <v>4</v>
      </c>
      <c r="Z9" s="44" t="str">
        <f>IF('[1]Spreads VM-V Table X'!AL9=0,"",'[1]Spreads VM-V Table X'!AL9)</f>
        <v/>
      </c>
      <c r="AA9" s="44" t="str">
        <f>IF('[1]Spreads VM-V Table X'!AM9=0,"",'[1]Spreads VM-V Table X'!AM9)</f>
        <v/>
      </c>
      <c r="AB9" s="44" t="str">
        <f>IF('[1]Spreads VM-V Table X'!AN9=0,"",'[1]Spreads VM-V Table X'!AN9)</f>
        <v/>
      </c>
      <c r="AC9" s="44" t="str">
        <f>IF('[1]Spreads VM-V Table X'!AO9=0,"",'[1]Spreads VM-V Table X'!AO9)</f>
        <v/>
      </c>
      <c r="AD9" s="44" t="str">
        <f>IF('[1]Spreads VM-V Table X'!AP9=0,"",'[1]Spreads VM-V Table X'!AP9)</f>
        <v/>
      </c>
      <c r="AE9" s="44" t="str">
        <f>IF('[1]Spreads VM-V Table X'!AQ9=0,"",'[1]Spreads VM-V Table X'!AQ9)</f>
        <v/>
      </c>
      <c r="AF9" s="44" t="str">
        <f>IF('[1]Spreads VM-V Table X'!AR9=0,"",'[1]Spreads VM-V Table X'!AR9)</f>
        <v/>
      </c>
      <c r="AG9" s="44" t="str">
        <f>IF('[1]Spreads VM-V Table X'!AS9=0,"",'[1]Spreads VM-V Table X'!AS9)</f>
        <v/>
      </c>
      <c r="AH9" s="44" t="str">
        <f>IF('[1]Spreads VM-V Table X'!AT9=0,"",'[1]Spreads VM-V Table X'!AT9)</f>
        <v/>
      </c>
      <c r="AI9" s="44" t="str">
        <f>IF('[1]Spreads VM-V Table X'!AU9=0,"",'[1]Spreads VM-V Table X'!AU9)</f>
        <v/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2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>
        <f>IF('[1]Spreads VM-V Table X'!Z10=0,"",'[1]Spreads VM-V Table X'!Z10)</f>
        <v>23.33</v>
      </c>
      <c r="O10" s="44">
        <f>IF('[1]Spreads VM-V Table X'!AA10=0,"",'[1]Spreads VM-V Table X'!AA10)</f>
        <v>32.96</v>
      </c>
      <c r="P10" s="44">
        <f>IF('[1]Spreads VM-V Table X'!AB10=0,"",'[1]Spreads VM-V Table X'!AB10)</f>
        <v>42.6</v>
      </c>
      <c r="Q10" s="44">
        <f>IF('[1]Spreads VM-V Table X'!AC10=0,"",'[1]Spreads VM-V Table X'!AC10)</f>
        <v>49.79</v>
      </c>
      <c r="R10" s="44">
        <f>IF('[1]Spreads VM-V Table X'!AD10=0,"",'[1]Spreads VM-V Table X'!AD10)</f>
        <v>56.97</v>
      </c>
      <c r="S10" s="44">
        <f>IF('[1]Spreads VM-V Table X'!AE10=0,"",'[1]Spreads VM-V Table X'!AE10)</f>
        <v>64.16</v>
      </c>
      <c r="T10" s="44">
        <f>IF('[1]Spreads VM-V Table X'!AF10=0,"",'[1]Spreads VM-V Table X'!AF10)</f>
        <v>75.06</v>
      </c>
      <c r="U10" s="44">
        <f>IF('[1]Spreads VM-V Table X'!AG10=0,"",'[1]Spreads VM-V Table X'!AG10)</f>
        <v>85.96</v>
      </c>
      <c r="V10" s="44">
        <f>IF('[1]Spreads VM-V Table X'!AH10=0,"",'[1]Spreads VM-V Table X'!AH10)</f>
        <v>96.85</v>
      </c>
      <c r="W10" s="44">
        <f>IF('[1]Spreads VM-V Table X'!AI10=0,"",'[1]Spreads VM-V Table X'!AI10)</f>
        <v>118.99</v>
      </c>
      <c r="Y10" s="42">
        <v>5</v>
      </c>
      <c r="Z10" s="44" t="str">
        <f>IF('[1]Spreads VM-V Table X'!AL10=0,"",'[1]Spreads VM-V Table X'!AL10)</f>
        <v/>
      </c>
      <c r="AA10" s="44" t="str">
        <f>IF('[1]Spreads VM-V Table X'!AM10=0,"",'[1]Spreads VM-V Table X'!AM10)</f>
        <v/>
      </c>
      <c r="AB10" s="44" t="str">
        <f>IF('[1]Spreads VM-V Table X'!AN10=0,"",'[1]Spreads VM-V Table X'!AN10)</f>
        <v/>
      </c>
      <c r="AC10" s="44" t="str">
        <f>IF('[1]Spreads VM-V Table X'!AO10=0,"",'[1]Spreads VM-V Table X'!AO10)</f>
        <v/>
      </c>
      <c r="AD10" s="44" t="str">
        <f>IF('[1]Spreads VM-V Table X'!AP10=0,"",'[1]Spreads VM-V Table X'!AP10)</f>
        <v/>
      </c>
      <c r="AE10" s="44" t="str">
        <f>IF('[1]Spreads VM-V Table X'!AQ10=0,"",'[1]Spreads VM-V Table X'!AQ10)</f>
        <v/>
      </c>
      <c r="AF10" s="44" t="str">
        <f>IF('[1]Spreads VM-V Table X'!AR10=0,"",'[1]Spreads VM-V Table X'!AR10)</f>
        <v/>
      </c>
      <c r="AG10" s="44" t="str">
        <f>IF('[1]Spreads VM-V Table X'!AS10=0,"",'[1]Spreads VM-V Table X'!AS10)</f>
        <v/>
      </c>
      <c r="AH10" s="44" t="str">
        <f>IF('[1]Spreads VM-V Table X'!AT10=0,"",'[1]Spreads VM-V Table X'!AT10)</f>
        <v/>
      </c>
      <c r="AI10" s="44" t="str">
        <f>IF('[1]Spreads VM-V Table X'!AU10=0,"",'[1]Spreads VM-V Table X'!AU10)</f>
        <v/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2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>
        <f>IF('[1]Spreads VM-V Table X'!Z11=0,"",'[1]Spreads VM-V Table X'!Z11)</f>
        <v>26.63</v>
      </c>
      <c r="O11" s="44">
        <f>IF('[1]Spreads VM-V Table X'!AA11=0,"",'[1]Spreads VM-V Table X'!AA11)</f>
        <v>35.880000000000003</v>
      </c>
      <c r="P11" s="44">
        <f>IF('[1]Spreads VM-V Table X'!AB11=0,"",'[1]Spreads VM-V Table X'!AB11)</f>
        <v>45.13</v>
      </c>
      <c r="Q11" s="44">
        <f>IF('[1]Spreads VM-V Table X'!AC11=0,"",'[1]Spreads VM-V Table X'!AC11)</f>
        <v>52.99</v>
      </c>
      <c r="R11" s="44">
        <f>IF('[1]Spreads VM-V Table X'!AD11=0,"",'[1]Spreads VM-V Table X'!AD11)</f>
        <v>60.84</v>
      </c>
      <c r="S11" s="44">
        <f>IF('[1]Spreads VM-V Table X'!AE11=0,"",'[1]Spreads VM-V Table X'!AE11)</f>
        <v>68.7</v>
      </c>
      <c r="T11" s="44">
        <f>IF('[1]Spreads VM-V Table X'!AF11=0,"",'[1]Spreads VM-V Table X'!AF11)</f>
        <v>79.569999999999993</v>
      </c>
      <c r="U11" s="44">
        <f>IF('[1]Spreads VM-V Table X'!AG11=0,"",'[1]Spreads VM-V Table X'!AG11)</f>
        <v>90.44</v>
      </c>
      <c r="V11" s="44">
        <f>IF('[1]Spreads VM-V Table X'!AH11=0,"",'[1]Spreads VM-V Table X'!AH11)</f>
        <v>101.32</v>
      </c>
      <c r="W11" s="44">
        <f>IF('[1]Spreads VM-V Table X'!AI11=0,"",'[1]Spreads VM-V Table X'!AI11)</f>
        <v>121.23</v>
      </c>
      <c r="Y11" s="42">
        <v>6</v>
      </c>
      <c r="Z11" s="44" t="str">
        <f>IF('[1]Spreads VM-V Table X'!AL11=0,"",'[1]Spreads VM-V Table X'!AL11)</f>
        <v/>
      </c>
      <c r="AA11" s="44" t="str">
        <f>IF('[1]Spreads VM-V Table X'!AM11=0,"",'[1]Spreads VM-V Table X'!AM11)</f>
        <v/>
      </c>
      <c r="AB11" s="44" t="str">
        <f>IF('[1]Spreads VM-V Table X'!AN11=0,"",'[1]Spreads VM-V Table X'!AN11)</f>
        <v/>
      </c>
      <c r="AC11" s="44" t="str">
        <f>IF('[1]Spreads VM-V Table X'!AO11=0,"",'[1]Spreads VM-V Table X'!AO11)</f>
        <v/>
      </c>
      <c r="AD11" s="44" t="str">
        <f>IF('[1]Spreads VM-V Table X'!AP11=0,"",'[1]Spreads VM-V Table X'!AP11)</f>
        <v/>
      </c>
      <c r="AE11" s="44" t="str">
        <f>IF('[1]Spreads VM-V Table X'!AQ11=0,"",'[1]Spreads VM-V Table X'!AQ11)</f>
        <v/>
      </c>
      <c r="AF11" s="44" t="str">
        <f>IF('[1]Spreads VM-V Table X'!AR11=0,"",'[1]Spreads VM-V Table X'!AR11)</f>
        <v/>
      </c>
      <c r="AG11" s="44" t="str">
        <f>IF('[1]Spreads VM-V Table X'!AS11=0,"",'[1]Spreads VM-V Table X'!AS11)</f>
        <v/>
      </c>
      <c r="AH11" s="44" t="str">
        <f>IF('[1]Spreads VM-V Table X'!AT11=0,"",'[1]Spreads VM-V Table X'!AT11)</f>
        <v/>
      </c>
      <c r="AI11" s="44" t="str">
        <f>IF('[1]Spreads VM-V Table X'!AU11=0,"",'[1]Spreads VM-V Table X'!AU11)</f>
        <v/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2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>
        <f>IF('[1]Spreads VM-V Table X'!Z12=0,"",'[1]Spreads VM-V Table X'!Z12)</f>
        <v>26.07</v>
      </c>
      <c r="O12" s="44">
        <f>IF('[1]Spreads VM-V Table X'!AA12=0,"",'[1]Spreads VM-V Table X'!AA12)</f>
        <v>37.5</v>
      </c>
      <c r="P12" s="44">
        <f>IF('[1]Spreads VM-V Table X'!AB12=0,"",'[1]Spreads VM-V Table X'!AB12)</f>
        <v>48.94</v>
      </c>
      <c r="Q12" s="44">
        <f>IF('[1]Spreads VM-V Table X'!AC12=0,"",'[1]Spreads VM-V Table X'!AC12)</f>
        <v>56.85</v>
      </c>
      <c r="R12" s="44">
        <f>IF('[1]Spreads VM-V Table X'!AD12=0,"",'[1]Spreads VM-V Table X'!AD12)</f>
        <v>64.760000000000005</v>
      </c>
      <c r="S12" s="44">
        <f>IF('[1]Spreads VM-V Table X'!AE12=0,"",'[1]Spreads VM-V Table X'!AE12)</f>
        <v>72.67</v>
      </c>
      <c r="T12" s="44">
        <f>IF('[1]Spreads VM-V Table X'!AF12=0,"",'[1]Spreads VM-V Table X'!AF12)</f>
        <v>83.53</v>
      </c>
      <c r="U12" s="44">
        <f>IF('[1]Spreads VM-V Table X'!AG12=0,"",'[1]Spreads VM-V Table X'!AG12)</f>
        <v>94.38</v>
      </c>
      <c r="V12" s="44">
        <f>IF('[1]Spreads VM-V Table X'!AH12=0,"",'[1]Spreads VM-V Table X'!AH12)</f>
        <v>105.24</v>
      </c>
      <c r="W12" s="44">
        <f>IF('[1]Spreads VM-V Table X'!AI12=0,"",'[1]Spreads VM-V Table X'!AI12)</f>
        <v>123.19</v>
      </c>
      <c r="Y12" s="42">
        <v>7</v>
      </c>
      <c r="Z12" s="44" t="str">
        <f>IF('[1]Spreads VM-V Table X'!AL12=0,"",'[1]Spreads VM-V Table X'!AL12)</f>
        <v/>
      </c>
      <c r="AA12" s="44" t="str">
        <f>IF('[1]Spreads VM-V Table X'!AM12=0,"",'[1]Spreads VM-V Table X'!AM12)</f>
        <v/>
      </c>
      <c r="AB12" s="44" t="str">
        <f>IF('[1]Spreads VM-V Table X'!AN12=0,"",'[1]Spreads VM-V Table X'!AN12)</f>
        <v/>
      </c>
      <c r="AC12" s="44" t="str">
        <f>IF('[1]Spreads VM-V Table X'!AO12=0,"",'[1]Spreads VM-V Table X'!AO12)</f>
        <v/>
      </c>
      <c r="AD12" s="44" t="str">
        <f>IF('[1]Spreads VM-V Table X'!AP12=0,"",'[1]Spreads VM-V Table X'!AP12)</f>
        <v/>
      </c>
      <c r="AE12" s="44" t="str">
        <f>IF('[1]Spreads VM-V Table X'!AQ12=0,"",'[1]Spreads VM-V Table X'!AQ12)</f>
        <v/>
      </c>
      <c r="AF12" s="44" t="str">
        <f>IF('[1]Spreads VM-V Table X'!AR12=0,"",'[1]Spreads VM-V Table X'!AR12)</f>
        <v/>
      </c>
      <c r="AG12" s="44" t="str">
        <f>IF('[1]Spreads VM-V Table X'!AS12=0,"",'[1]Spreads VM-V Table X'!AS12)</f>
        <v/>
      </c>
      <c r="AH12" s="44" t="str">
        <f>IF('[1]Spreads VM-V Table X'!AT12=0,"",'[1]Spreads VM-V Table X'!AT12)</f>
        <v/>
      </c>
      <c r="AI12" s="44" t="str">
        <f>IF('[1]Spreads VM-V Table X'!AU12=0,"",'[1]Spreads VM-V Table X'!AU12)</f>
        <v/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2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>
        <f>IF('[1]Spreads VM-V Table X'!Z13=0,"",'[1]Spreads VM-V Table X'!Z13)</f>
        <v>25.51</v>
      </c>
      <c r="O13" s="44">
        <f>IF('[1]Spreads VM-V Table X'!AA13=0,"",'[1]Spreads VM-V Table X'!AA13)</f>
        <v>39.130000000000003</v>
      </c>
      <c r="P13" s="44">
        <f>IF('[1]Spreads VM-V Table X'!AB13=0,"",'[1]Spreads VM-V Table X'!AB13)</f>
        <v>52.74</v>
      </c>
      <c r="Q13" s="44">
        <f>IF('[1]Spreads VM-V Table X'!AC13=0,"",'[1]Spreads VM-V Table X'!AC13)</f>
        <v>60.71</v>
      </c>
      <c r="R13" s="44">
        <f>IF('[1]Spreads VM-V Table X'!AD13=0,"",'[1]Spreads VM-V Table X'!AD13)</f>
        <v>68.680000000000007</v>
      </c>
      <c r="S13" s="44">
        <f>IF('[1]Spreads VM-V Table X'!AE13=0,"",'[1]Spreads VM-V Table X'!AE13)</f>
        <v>76.650000000000006</v>
      </c>
      <c r="T13" s="44">
        <f>IF('[1]Spreads VM-V Table X'!AF13=0,"",'[1]Spreads VM-V Table X'!AF13)</f>
        <v>87.49</v>
      </c>
      <c r="U13" s="44">
        <f>IF('[1]Spreads VM-V Table X'!AG13=0,"",'[1]Spreads VM-V Table X'!AG13)</f>
        <v>98.32</v>
      </c>
      <c r="V13" s="44">
        <f>IF('[1]Spreads VM-V Table X'!AH13=0,"",'[1]Spreads VM-V Table X'!AH13)</f>
        <v>109.16</v>
      </c>
      <c r="W13" s="44">
        <f>IF('[1]Spreads VM-V Table X'!AI13=0,"",'[1]Spreads VM-V Table X'!AI13)</f>
        <v>125.15</v>
      </c>
      <c r="Y13" s="42">
        <v>8</v>
      </c>
      <c r="Z13" s="44" t="str">
        <f>IF('[1]Spreads VM-V Table X'!AL13=0,"",'[1]Spreads VM-V Table X'!AL13)</f>
        <v/>
      </c>
      <c r="AA13" s="44" t="str">
        <f>IF('[1]Spreads VM-V Table X'!AM13=0,"",'[1]Spreads VM-V Table X'!AM13)</f>
        <v/>
      </c>
      <c r="AB13" s="44" t="str">
        <f>IF('[1]Spreads VM-V Table X'!AN13=0,"",'[1]Spreads VM-V Table X'!AN13)</f>
        <v/>
      </c>
      <c r="AC13" s="44" t="str">
        <f>IF('[1]Spreads VM-V Table X'!AO13=0,"",'[1]Spreads VM-V Table X'!AO13)</f>
        <v/>
      </c>
      <c r="AD13" s="44" t="str">
        <f>IF('[1]Spreads VM-V Table X'!AP13=0,"",'[1]Spreads VM-V Table X'!AP13)</f>
        <v/>
      </c>
      <c r="AE13" s="44" t="str">
        <f>IF('[1]Spreads VM-V Table X'!AQ13=0,"",'[1]Spreads VM-V Table X'!AQ13)</f>
        <v/>
      </c>
      <c r="AF13" s="44" t="str">
        <f>IF('[1]Spreads VM-V Table X'!AR13=0,"",'[1]Spreads VM-V Table X'!AR13)</f>
        <v/>
      </c>
      <c r="AG13" s="44" t="str">
        <f>IF('[1]Spreads VM-V Table X'!AS13=0,"",'[1]Spreads VM-V Table X'!AS13)</f>
        <v/>
      </c>
      <c r="AH13" s="44" t="str">
        <f>IF('[1]Spreads VM-V Table X'!AT13=0,"",'[1]Spreads VM-V Table X'!AT13)</f>
        <v/>
      </c>
      <c r="AI13" s="44" t="str">
        <f>IF('[1]Spreads VM-V Table X'!AU13=0,"",'[1]Spreads VM-V Table X'!AU13)</f>
        <v/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2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>
        <f>IF('[1]Spreads VM-V Table X'!Z14=0,"",'[1]Spreads VM-V Table X'!Z14)</f>
        <v>24.95</v>
      </c>
      <c r="O14" s="44">
        <f>IF('[1]Spreads VM-V Table X'!AA14=0,"",'[1]Spreads VM-V Table X'!AA14)</f>
        <v>40.75</v>
      </c>
      <c r="P14" s="44">
        <f>IF('[1]Spreads VM-V Table X'!AB14=0,"",'[1]Spreads VM-V Table X'!AB14)</f>
        <v>56.55</v>
      </c>
      <c r="Q14" s="44">
        <f>IF('[1]Spreads VM-V Table X'!AC14=0,"",'[1]Spreads VM-V Table X'!AC14)</f>
        <v>64.569999999999993</v>
      </c>
      <c r="R14" s="44">
        <f>IF('[1]Spreads VM-V Table X'!AD14=0,"",'[1]Spreads VM-V Table X'!AD14)</f>
        <v>72.599999999999994</v>
      </c>
      <c r="S14" s="44">
        <f>IF('[1]Spreads VM-V Table X'!AE14=0,"",'[1]Spreads VM-V Table X'!AE14)</f>
        <v>80.63</v>
      </c>
      <c r="T14" s="44">
        <f>IF('[1]Spreads VM-V Table X'!AF14=0,"",'[1]Spreads VM-V Table X'!AF14)</f>
        <v>91.44</v>
      </c>
      <c r="U14" s="44">
        <f>IF('[1]Spreads VM-V Table X'!AG14=0,"",'[1]Spreads VM-V Table X'!AG14)</f>
        <v>102.26</v>
      </c>
      <c r="V14" s="44">
        <f>IF('[1]Spreads VM-V Table X'!AH14=0,"",'[1]Spreads VM-V Table X'!AH14)</f>
        <v>113.08</v>
      </c>
      <c r="W14" s="44">
        <f>IF('[1]Spreads VM-V Table X'!AI14=0,"",'[1]Spreads VM-V Table X'!AI14)</f>
        <v>127.11</v>
      </c>
      <c r="Y14" s="42">
        <v>9</v>
      </c>
      <c r="Z14" s="44" t="str">
        <f>IF('[1]Spreads VM-V Table X'!AL14=0,"",'[1]Spreads VM-V Table X'!AL14)</f>
        <v/>
      </c>
      <c r="AA14" s="44" t="str">
        <f>IF('[1]Spreads VM-V Table X'!AM14=0,"",'[1]Spreads VM-V Table X'!AM14)</f>
        <v/>
      </c>
      <c r="AB14" s="44" t="str">
        <f>IF('[1]Spreads VM-V Table X'!AN14=0,"",'[1]Spreads VM-V Table X'!AN14)</f>
        <v/>
      </c>
      <c r="AC14" s="44" t="str">
        <f>IF('[1]Spreads VM-V Table X'!AO14=0,"",'[1]Spreads VM-V Table X'!AO14)</f>
        <v/>
      </c>
      <c r="AD14" s="44" t="str">
        <f>IF('[1]Spreads VM-V Table X'!AP14=0,"",'[1]Spreads VM-V Table X'!AP14)</f>
        <v/>
      </c>
      <c r="AE14" s="44" t="str">
        <f>IF('[1]Spreads VM-V Table X'!AQ14=0,"",'[1]Spreads VM-V Table X'!AQ14)</f>
        <v/>
      </c>
      <c r="AF14" s="44" t="str">
        <f>IF('[1]Spreads VM-V Table X'!AR14=0,"",'[1]Spreads VM-V Table X'!AR14)</f>
        <v/>
      </c>
      <c r="AG14" s="44" t="str">
        <f>IF('[1]Spreads VM-V Table X'!AS14=0,"",'[1]Spreads VM-V Table X'!AS14)</f>
        <v/>
      </c>
      <c r="AH14" s="44" t="str">
        <f>IF('[1]Spreads VM-V Table X'!AT14=0,"",'[1]Spreads VM-V Table X'!AT14)</f>
        <v/>
      </c>
      <c r="AI14" s="44" t="str">
        <f>IF('[1]Spreads VM-V Table X'!AU14=0,"",'[1]Spreads VM-V Table X'!AU14)</f>
        <v/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2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>
        <f>IF('[1]Spreads VM-V Table X'!Z15=0,"",'[1]Spreads VM-V Table X'!Z15)</f>
        <v>26.61</v>
      </c>
      <c r="O15" s="44">
        <f>IF('[1]Spreads VM-V Table X'!AA15=0,"",'[1]Spreads VM-V Table X'!AA15)</f>
        <v>42.14</v>
      </c>
      <c r="P15" s="44">
        <f>IF('[1]Spreads VM-V Table X'!AB15=0,"",'[1]Spreads VM-V Table X'!AB15)</f>
        <v>57.67</v>
      </c>
      <c r="Q15" s="44">
        <f>IF('[1]Spreads VM-V Table X'!AC15=0,"",'[1]Spreads VM-V Table X'!AC15)</f>
        <v>65.38</v>
      </c>
      <c r="R15" s="44">
        <f>IF('[1]Spreads VM-V Table X'!AD15=0,"",'[1]Spreads VM-V Table X'!AD15)</f>
        <v>73.099999999999994</v>
      </c>
      <c r="S15" s="44">
        <f>IF('[1]Spreads VM-V Table X'!AE15=0,"",'[1]Spreads VM-V Table X'!AE15)</f>
        <v>80.819999999999993</v>
      </c>
      <c r="T15" s="44">
        <f>IF('[1]Spreads VM-V Table X'!AF15=0,"",'[1]Spreads VM-V Table X'!AF15)</f>
        <v>91.86</v>
      </c>
      <c r="U15" s="44">
        <f>IF('[1]Spreads VM-V Table X'!AG15=0,"",'[1]Spreads VM-V Table X'!AG15)</f>
        <v>102.91</v>
      </c>
      <c r="V15" s="44">
        <f>IF('[1]Spreads VM-V Table X'!AH15=0,"",'[1]Spreads VM-V Table X'!AH15)</f>
        <v>113.96</v>
      </c>
      <c r="W15" s="44">
        <f>IF('[1]Spreads VM-V Table X'!AI15=0,"",'[1]Spreads VM-V Table X'!AI15)</f>
        <v>127.55</v>
      </c>
      <c r="Y15" s="42">
        <v>10</v>
      </c>
      <c r="Z15" s="44" t="str">
        <f>IF('[1]Spreads VM-V Table X'!AL15=0,"",'[1]Spreads VM-V Table X'!AL15)</f>
        <v/>
      </c>
      <c r="AA15" s="44" t="str">
        <f>IF('[1]Spreads VM-V Table X'!AM15=0,"",'[1]Spreads VM-V Table X'!AM15)</f>
        <v/>
      </c>
      <c r="AB15" s="44" t="str">
        <f>IF('[1]Spreads VM-V Table X'!AN15=0,"",'[1]Spreads VM-V Table X'!AN15)</f>
        <v/>
      </c>
      <c r="AC15" s="44" t="str">
        <f>IF('[1]Spreads VM-V Table X'!AO15=0,"",'[1]Spreads VM-V Table X'!AO15)</f>
        <v/>
      </c>
      <c r="AD15" s="44" t="str">
        <f>IF('[1]Spreads VM-V Table X'!AP15=0,"",'[1]Spreads VM-V Table X'!AP15)</f>
        <v/>
      </c>
      <c r="AE15" s="44" t="str">
        <f>IF('[1]Spreads VM-V Table X'!AQ15=0,"",'[1]Spreads VM-V Table X'!AQ15)</f>
        <v/>
      </c>
      <c r="AF15" s="44" t="str">
        <f>IF('[1]Spreads VM-V Table X'!AR15=0,"",'[1]Spreads VM-V Table X'!AR15)</f>
        <v/>
      </c>
      <c r="AG15" s="44" t="str">
        <f>IF('[1]Spreads VM-V Table X'!AS15=0,"",'[1]Spreads VM-V Table X'!AS15)</f>
        <v/>
      </c>
      <c r="AH15" s="44" t="str">
        <f>IF('[1]Spreads VM-V Table X'!AT15=0,"",'[1]Spreads VM-V Table X'!AT15)</f>
        <v/>
      </c>
      <c r="AI15" s="44" t="str">
        <f>IF('[1]Spreads VM-V Table X'!AU15=0,"",'[1]Spreads VM-V Table X'!AU15)</f>
        <v/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2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>
        <f>IF('[1]Spreads VM-V Table X'!Z16=0,"",'[1]Spreads VM-V Table X'!Z16)</f>
        <v>28.27</v>
      </c>
      <c r="O16" s="44">
        <f>IF('[1]Spreads VM-V Table X'!AA16=0,"",'[1]Spreads VM-V Table X'!AA16)</f>
        <v>43.53</v>
      </c>
      <c r="P16" s="44">
        <f>IF('[1]Spreads VM-V Table X'!AB16=0,"",'[1]Spreads VM-V Table X'!AB16)</f>
        <v>58.78</v>
      </c>
      <c r="Q16" s="44">
        <f>IF('[1]Spreads VM-V Table X'!AC16=0,"",'[1]Spreads VM-V Table X'!AC16)</f>
        <v>66.19</v>
      </c>
      <c r="R16" s="44">
        <f>IF('[1]Spreads VM-V Table X'!AD16=0,"",'[1]Spreads VM-V Table X'!AD16)</f>
        <v>73.599999999999994</v>
      </c>
      <c r="S16" s="44">
        <f>IF('[1]Spreads VM-V Table X'!AE16=0,"",'[1]Spreads VM-V Table X'!AE16)</f>
        <v>81.010000000000005</v>
      </c>
      <c r="T16" s="44">
        <f>IF('[1]Spreads VM-V Table X'!AF16=0,"",'[1]Spreads VM-V Table X'!AF16)</f>
        <v>92.28</v>
      </c>
      <c r="U16" s="44">
        <f>IF('[1]Spreads VM-V Table X'!AG16=0,"",'[1]Spreads VM-V Table X'!AG16)</f>
        <v>103.56</v>
      </c>
      <c r="V16" s="44">
        <f>IF('[1]Spreads VM-V Table X'!AH16=0,"",'[1]Spreads VM-V Table X'!AH16)</f>
        <v>114.83</v>
      </c>
      <c r="W16" s="44">
        <f>IF('[1]Spreads VM-V Table X'!AI16=0,"",'[1]Spreads VM-V Table X'!AI16)</f>
        <v>127.99</v>
      </c>
      <c r="Y16" s="42">
        <v>11</v>
      </c>
      <c r="Z16" s="44" t="str">
        <f>IF('[1]Spreads VM-V Table X'!AL16=0,"",'[1]Spreads VM-V Table X'!AL16)</f>
        <v/>
      </c>
      <c r="AA16" s="44" t="str">
        <f>IF('[1]Spreads VM-V Table X'!AM16=0,"",'[1]Spreads VM-V Table X'!AM16)</f>
        <v/>
      </c>
      <c r="AB16" s="44" t="str">
        <f>IF('[1]Spreads VM-V Table X'!AN16=0,"",'[1]Spreads VM-V Table X'!AN16)</f>
        <v/>
      </c>
      <c r="AC16" s="44" t="str">
        <f>IF('[1]Spreads VM-V Table X'!AO16=0,"",'[1]Spreads VM-V Table X'!AO16)</f>
        <v/>
      </c>
      <c r="AD16" s="44" t="str">
        <f>IF('[1]Spreads VM-V Table X'!AP16=0,"",'[1]Spreads VM-V Table X'!AP16)</f>
        <v/>
      </c>
      <c r="AE16" s="44" t="str">
        <f>IF('[1]Spreads VM-V Table X'!AQ16=0,"",'[1]Spreads VM-V Table X'!AQ16)</f>
        <v/>
      </c>
      <c r="AF16" s="44" t="str">
        <f>IF('[1]Spreads VM-V Table X'!AR16=0,"",'[1]Spreads VM-V Table X'!AR16)</f>
        <v/>
      </c>
      <c r="AG16" s="44" t="str">
        <f>IF('[1]Spreads VM-V Table X'!AS16=0,"",'[1]Spreads VM-V Table X'!AS16)</f>
        <v/>
      </c>
      <c r="AH16" s="44" t="str">
        <f>IF('[1]Spreads VM-V Table X'!AT16=0,"",'[1]Spreads VM-V Table X'!AT16)</f>
        <v/>
      </c>
      <c r="AI16" s="44" t="str">
        <f>IF('[1]Spreads VM-V Table X'!AU16=0,"",'[1]Spreads VM-V Table X'!AU16)</f>
        <v/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2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>
        <f>IF('[1]Spreads VM-V Table X'!Z17=0,"",'[1]Spreads VM-V Table X'!Z17)</f>
        <v>29.93</v>
      </c>
      <c r="O17" s="44">
        <f>IF('[1]Spreads VM-V Table X'!AA17=0,"",'[1]Spreads VM-V Table X'!AA17)</f>
        <v>44.91</v>
      </c>
      <c r="P17" s="44">
        <f>IF('[1]Spreads VM-V Table X'!AB17=0,"",'[1]Spreads VM-V Table X'!AB17)</f>
        <v>59.9</v>
      </c>
      <c r="Q17" s="44">
        <f>IF('[1]Spreads VM-V Table X'!AC17=0,"",'[1]Spreads VM-V Table X'!AC17)</f>
        <v>67</v>
      </c>
      <c r="R17" s="44">
        <f>IF('[1]Spreads VM-V Table X'!AD17=0,"",'[1]Spreads VM-V Table X'!AD17)</f>
        <v>74.099999999999994</v>
      </c>
      <c r="S17" s="44">
        <f>IF('[1]Spreads VM-V Table X'!AE17=0,"",'[1]Spreads VM-V Table X'!AE17)</f>
        <v>81.2</v>
      </c>
      <c r="T17" s="44">
        <f>IF('[1]Spreads VM-V Table X'!AF17=0,"",'[1]Spreads VM-V Table X'!AF17)</f>
        <v>92.7</v>
      </c>
      <c r="U17" s="44">
        <f>IF('[1]Spreads VM-V Table X'!AG17=0,"",'[1]Spreads VM-V Table X'!AG17)</f>
        <v>104.21</v>
      </c>
      <c r="V17" s="44">
        <f>IF('[1]Spreads VM-V Table X'!AH17=0,"",'[1]Spreads VM-V Table X'!AH17)</f>
        <v>115.71</v>
      </c>
      <c r="W17" s="44">
        <f>IF('[1]Spreads VM-V Table X'!AI17=0,"",'[1]Spreads VM-V Table X'!AI17)</f>
        <v>128.41999999999999</v>
      </c>
      <c r="Y17" s="42">
        <v>12</v>
      </c>
      <c r="Z17" s="44" t="str">
        <f>IF('[1]Spreads VM-V Table X'!AL17=0,"",'[1]Spreads VM-V Table X'!AL17)</f>
        <v/>
      </c>
      <c r="AA17" s="44" t="str">
        <f>IF('[1]Spreads VM-V Table X'!AM17=0,"",'[1]Spreads VM-V Table X'!AM17)</f>
        <v/>
      </c>
      <c r="AB17" s="44" t="str">
        <f>IF('[1]Spreads VM-V Table X'!AN17=0,"",'[1]Spreads VM-V Table X'!AN17)</f>
        <v/>
      </c>
      <c r="AC17" s="44" t="str">
        <f>IF('[1]Spreads VM-V Table X'!AO17=0,"",'[1]Spreads VM-V Table X'!AO17)</f>
        <v/>
      </c>
      <c r="AD17" s="44" t="str">
        <f>IF('[1]Spreads VM-V Table X'!AP17=0,"",'[1]Spreads VM-V Table X'!AP17)</f>
        <v/>
      </c>
      <c r="AE17" s="44" t="str">
        <f>IF('[1]Spreads VM-V Table X'!AQ17=0,"",'[1]Spreads VM-V Table X'!AQ17)</f>
        <v/>
      </c>
      <c r="AF17" s="44" t="str">
        <f>IF('[1]Spreads VM-V Table X'!AR17=0,"",'[1]Spreads VM-V Table X'!AR17)</f>
        <v/>
      </c>
      <c r="AG17" s="44" t="str">
        <f>IF('[1]Spreads VM-V Table X'!AS17=0,"",'[1]Spreads VM-V Table X'!AS17)</f>
        <v/>
      </c>
      <c r="AH17" s="44" t="str">
        <f>IF('[1]Spreads VM-V Table X'!AT17=0,"",'[1]Spreads VM-V Table X'!AT17)</f>
        <v/>
      </c>
      <c r="AI17" s="44" t="str">
        <f>IF('[1]Spreads VM-V Table X'!AU17=0,"",'[1]Spreads VM-V Table X'!AU17)</f>
        <v/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2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>
        <f>IF('[1]Spreads VM-V Table X'!Z18=0,"",'[1]Spreads VM-V Table X'!Z18)</f>
        <v>31.58</v>
      </c>
      <c r="O18" s="44">
        <f>IF('[1]Spreads VM-V Table X'!AA18=0,"",'[1]Spreads VM-V Table X'!AA18)</f>
        <v>46.3</v>
      </c>
      <c r="P18" s="44">
        <f>IF('[1]Spreads VM-V Table X'!AB18=0,"",'[1]Spreads VM-V Table X'!AB18)</f>
        <v>61.02</v>
      </c>
      <c r="Q18" s="44">
        <f>IF('[1]Spreads VM-V Table X'!AC18=0,"",'[1]Spreads VM-V Table X'!AC18)</f>
        <v>67.81</v>
      </c>
      <c r="R18" s="44">
        <f>IF('[1]Spreads VM-V Table X'!AD18=0,"",'[1]Spreads VM-V Table X'!AD18)</f>
        <v>74.599999999999994</v>
      </c>
      <c r="S18" s="44">
        <f>IF('[1]Spreads VM-V Table X'!AE18=0,"",'[1]Spreads VM-V Table X'!AE18)</f>
        <v>81.39</v>
      </c>
      <c r="T18" s="44">
        <f>IF('[1]Spreads VM-V Table X'!AF18=0,"",'[1]Spreads VM-V Table X'!AF18)</f>
        <v>93.12</v>
      </c>
      <c r="U18" s="44">
        <f>IF('[1]Spreads VM-V Table X'!AG18=0,"",'[1]Spreads VM-V Table X'!AG18)</f>
        <v>104.86</v>
      </c>
      <c r="V18" s="44">
        <f>IF('[1]Spreads VM-V Table X'!AH18=0,"",'[1]Spreads VM-V Table X'!AH18)</f>
        <v>116.59</v>
      </c>
      <c r="W18" s="44">
        <f>IF('[1]Spreads VM-V Table X'!AI18=0,"",'[1]Spreads VM-V Table X'!AI18)</f>
        <v>128.86000000000001</v>
      </c>
      <c r="Y18" s="42">
        <v>13</v>
      </c>
      <c r="Z18" s="44" t="str">
        <f>IF('[1]Spreads VM-V Table X'!AL18=0,"",'[1]Spreads VM-V Table X'!AL18)</f>
        <v/>
      </c>
      <c r="AA18" s="44" t="str">
        <f>IF('[1]Spreads VM-V Table X'!AM18=0,"",'[1]Spreads VM-V Table X'!AM18)</f>
        <v/>
      </c>
      <c r="AB18" s="44" t="str">
        <f>IF('[1]Spreads VM-V Table X'!AN18=0,"",'[1]Spreads VM-V Table X'!AN18)</f>
        <v/>
      </c>
      <c r="AC18" s="44" t="str">
        <f>IF('[1]Spreads VM-V Table X'!AO18=0,"",'[1]Spreads VM-V Table X'!AO18)</f>
        <v/>
      </c>
      <c r="AD18" s="44" t="str">
        <f>IF('[1]Spreads VM-V Table X'!AP18=0,"",'[1]Spreads VM-V Table X'!AP18)</f>
        <v/>
      </c>
      <c r="AE18" s="44" t="str">
        <f>IF('[1]Spreads VM-V Table X'!AQ18=0,"",'[1]Spreads VM-V Table X'!AQ18)</f>
        <v/>
      </c>
      <c r="AF18" s="44" t="str">
        <f>IF('[1]Spreads VM-V Table X'!AR18=0,"",'[1]Spreads VM-V Table X'!AR18)</f>
        <v/>
      </c>
      <c r="AG18" s="44" t="str">
        <f>IF('[1]Spreads VM-V Table X'!AS18=0,"",'[1]Spreads VM-V Table X'!AS18)</f>
        <v/>
      </c>
      <c r="AH18" s="44" t="str">
        <f>IF('[1]Spreads VM-V Table X'!AT18=0,"",'[1]Spreads VM-V Table X'!AT18)</f>
        <v/>
      </c>
      <c r="AI18" s="44" t="str">
        <f>IF('[1]Spreads VM-V Table X'!AU18=0,"",'[1]Spreads VM-V Table X'!AU18)</f>
        <v/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2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>
        <f>IF('[1]Spreads VM-V Table X'!Z19=0,"",'[1]Spreads VM-V Table X'!Z19)</f>
        <v>33.24</v>
      </c>
      <c r="O19" s="44">
        <f>IF('[1]Spreads VM-V Table X'!AA19=0,"",'[1]Spreads VM-V Table X'!AA19)</f>
        <v>47.69</v>
      </c>
      <c r="P19" s="44">
        <f>IF('[1]Spreads VM-V Table X'!AB19=0,"",'[1]Spreads VM-V Table X'!AB19)</f>
        <v>62.14</v>
      </c>
      <c r="Q19" s="44">
        <f>IF('[1]Spreads VM-V Table X'!AC19=0,"",'[1]Spreads VM-V Table X'!AC19)</f>
        <v>68.62</v>
      </c>
      <c r="R19" s="44">
        <f>IF('[1]Spreads VM-V Table X'!AD19=0,"",'[1]Spreads VM-V Table X'!AD19)</f>
        <v>75.099999999999994</v>
      </c>
      <c r="S19" s="44">
        <f>IF('[1]Spreads VM-V Table X'!AE19=0,"",'[1]Spreads VM-V Table X'!AE19)</f>
        <v>81.58</v>
      </c>
      <c r="T19" s="44">
        <f>IF('[1]Spreads VM-V Table X'!AF19=0,"",'[1]Spreads VM-V Table X'!AF19)</f>
        <v>93.54</v>
      </c>
      <c r="U19" s="44">
        <f>IF('[1]Spreads VM-V Table X'!AG19=0,"",'[1]Spreads VM-V Table X'!AG19)</f>
        <v>105.51</v>
      </c>
      <c r="V19" s="44">
        <f>IF('[1]Spreads VM-V Table X'!AH19=0,"",'[1]Spreads VM-V Table X'!AH19)</f>
        <v>117.47</v>
      </c>
      <c r="W19" s="44">
        <f>IF('[1]Spreads VM-V Table X'!AI19=0,"",'[1]Spreads VM-V Table X'!AI19)</f>
        <v>129.30000000000001</v>
      </c>
      <c r="Y19" s="42">
        <v>14</v>
      </c>
      <c r="Z19" s="44" t="str">
        <f>IF('[1]Spreads VM-V Table X'!AL19=0,"",'[1]Spreads VM-V Table X'!AL19)</f>
        <v/>
      </c>
      <c r="AA19" s="44" t="str">
        <f>IF('[1]Spreads VM-V Table X'!AM19=0,"",'[1]Spreads VM-V Table X'!AM19)</f>
        <v/>
      </c>
      <c r="AB19" s="44" t="str">
        <f>IF('[1]Spreads VM-V Table X'!AN19=0,"",'[1]Spreads VM-V Table X'!AN19)</f>
        <v/>
      </c>
      <c r="AC19" s="44" t="str">
        <f>IF('[1]Spreads VM-V Table X'!AO19=0,"",'[1]Spreads VM-V Table X'!AO19)</f>
        <v/>
      </c>
      <c r="AD19" s="44" t="str">
        <f>IF('[1]Spreads VM-V Table X'!AP19=0,"",'[1]Spreads VM-V Table X'!AP19)</f>
        <v/>
      </c>
      <c r="AE19" s="44" t="str">
        <f>IF('[1]Spreads VM-V Table X'!AQ19=0,"",'[1]Spreads VM-V Table X'!AQ19)</f>
        <v/>
      </c>
      <c r="AF19" s="44" t="str">
        <f>IF('[1]Spreads VM-V Table X'!AR19=0,"",'[1]Spreads VM-V Table X'!AR19)</f>
        <v/>
      </c>
      <c r="AG19" s="44" t="str">
        <f>IF('[1]Spreads VM-V Table X'!AS19=0,"",'[1]Spreads VM-V Table X'!AS19)</f>
        <v/>
      </c>
      <c r="AH19" s="44" t="str">
        <f>IF('[1]Spreads VM-V Table X'!AT19=0,"",'[1]Spreads VM-V Table X'!AT19)</f>
        <v/>
      </c>
      <c r="AI19" s="44" t="str">
        <f>IF('[1]Spreads VM-V Table X'!AU19=0,"",'[1]Spreads VM-V Table X'!AU19)</f>
        <v/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2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>
        <f>IF('[1]Spreads VM-V Table X'!Z20=0,"",'[1]Spreads VM-V Table X'!Z20)</f>
        <v>34.9</v>
      </c>
      <c r="O20" s="44">
        <f>IF('[1]Spreads VM-V Table X'!AA20=0,"",'[1]Spreads VM-V Table X'!AA20)</f>
        <v>49.08</v>
      </c>
      <c r="P20" s="44">
        <f>IF('[1]Spreads VM-V Table X'!AB20=0,"",'[1]Spreads VM-V Table X'!AB20)</f>
        <v>63.26</v>
      </c>
      <c r="Q20" s="44">
        <f>IF('[1]Spreads VM-V Table X'!AC20=0,"",'[1]Spreads VM-V Table X'!AC20)</f>
        <v>69.430000000000007</v>
      </c>
      <c r="R20" s="44">
        <f>IF('[1]Spreads VM-V Table X'!AD20=0,"",'[1]Spreads VM-V Table X'!AD20)</f>
        <v>75.599999999999994</v>
      </c>
      <c r="S20" s="44">
        <f>IF('[1]Spreads VM-V Table X'!AE20=0,"",'[1]Spreads VM-V Table X'!AE20)</f>
        <v>81.77</v>
      </c>
      <c r="T20" s="44">
        <f>IF('[1]Spreads VM-V Table X'!AF20=0,"",'[1]Spreads VM-V Table X'!AF20)</f>
        <v>93.96</v>
      </c>
      <c r="U20" s="44">
        <f>IF('[1]Spreads VM-V Table X'!AG20=0,"",'[1]Spreads VM-V Table X'!AG20)</f>
        <v>106.16</v>
      </c>
      <c r="V20" s="44">
        <f>IF('[1]Spreads VM-V Table X'!AH20=0,"",'[1]Spreads VM-V Table X'!AH20)</f>
        <v>118.35</v>
      </c>
      <c r="W20" s="44">
        <f>IF('[1]Spreads VM-V Table X'!AI20=0,"",'[1]Spreads VM-V Table X'!AI20)</f>
        <v>129.74</v>
      </c>
      <c r="Y20" s="42">
        <v>15</v>
      </c>
      <c r="Z20" s="44" t="str">
        <f>IF('[1]Spreads VM-V Table X'!AL20=0,"",'[1]Spreads VM-V Table X'!AL20)</f>
        <v/>
      </c>
      <c r="AA20" s="44" t="str">
        <f>IF('[1]Spreads VM-V Table X'!AM20=0,"",'[1]Spreads VM-V Table X'!AM20)</f>
        <v/>
      </c>
      <c r="AB20" s="44" t="str">
        <f>IF('[1]Spreads VM-V Table X'!AN20=0,"",'[1]Spreads VM-V Table X'!AN20)</f>
        <v/>
      </c>
      <c r="AC20" s="44" t="str">
        <f>IF('[1]Spreads VM-V Table X'!AO20=0,"",'[1]Spreads VM-V Table X'!AO20)</f>
        <v/>
      </c>
      <c r="AD20" s="44" t="str">
        <f>IF('[1]Spreads VM-V Table X'!AP20=0,"",'[1]Spreads VM-V Table X'!AP20)</f>
        <v/>
      </c>
      <c r="AE20" s="44" t="str">
        <f>IF('[1]Spreads VM-V Table X'!AQ20=0,"",'[1]Spreads VM-V Table X'!AQ20)</f>
        <v/>
      </c>
      <c r="AF20" s="44" t="str">
        <f>IF('[1]Spreads VM-V Table X'!AR20=0,"",'[1]Spreads VM-V Table X'!AR20)</f>
        <v/>
      </c>
      <c r="AG20" s="44" t="str">
        <f>IF('[1]Spreads VM-V Table X'!AS20=0,"",'[1]Spreads VM-V Table X'!AS20)</f>
        <v/>
      </c>
      <c r="AH20" s="44" t="str">
        <f>IF('[1]Spreads VM-V Table X'!AT20=0,"",'[1]Spreads VM-V Table X'!AT20)</f>
        <v/>
      </c>
      <c r="AI20" s="44" t="str">
        <f>IF('[1]Spreads VM-V Table X'!AU20=0,"",'[1]Spreads VM-V Table X'!AU20)</f>
        <v/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2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>
        <f>IF('[1]Spreads VM-V Table X'!Z21=0,"",'[1]Spreads VM-V Table X'!Z21)</f>
        <v>36.56</v>
      </c>
      <c r="O21" s="44">
        <f>IF('[1]Spreads VM-V Table X'!AA21=0,"",'[1]Spreads VM-V Table X'!AA21)</f>
        <v>50.47</v>
      </c>
      <c r="P21" s="44">
        <f>IF('[1]Spreads VM-V Table X'!AB21=0,"",'[1]Spreads VM-V Table X'!AB21)</f>
        <v>64.38</v>
      </c>
      <c r="Q21" s="44">
        <f>IF('[1]Spreads VM-V Table X'!AC21=0,"",'[1]Spreads VM-V Table X'!AC21)</f>
        <v>70.239999999999995</v>
      </c>
      <c r="R21" s="44">
        <f>IF('[1]Spreads VM-V Table X'!AD21=0,"",'[1]Spreads VM-V Table X'!AD21)</f>
        <v>76.099999999999994</v>
      </c>
      <c r="S21" s="44">
        <f>IF('[1]Spreads VM-V Table X'!AE21=0,"",'[1]Spreads VM-V Table X'!AE21)</f>
        <v>81.96</v>
      </c>
      <c r="T21" s="44">
        <f>IF('[1]Spreads VM-V Table X'!AF21=0,"",'[1]Spreads VM-V Table X'!AF21)</f>
        <v>94.38</v>
      </c>
      <c r="U21" s="44">
        <f>IF('[1]Spreads VM-V Table X'!AG21=0,"",'[1]Spreads VM-V Table X'!AG21)</f>
        <v>106.81</v>
      </c>
      <c r="V21" s="44">
        <f>IF('[1]Spreads VM-V Table X'!AH21=0,"",'[1]Spreads VM-V Table X'!AH21)</f>
        <v>119.23</v>
      </c>
      <c r="W21" s="44">
        <f>IF('[1]Spreads VM-V Table X'!AI21=0,"",'[1]Spreads VM-V Table X'!AI21)</f>
        <v>130.18</v>
      </c>
      <c r="Y21" s="42">
        <v>16</v>
      </c>
      <c r="Z21" s="44" t="str">
        <f>IF('[1]Spreads VM-V Table X'!AL21=0,"",'[1]Spreads VM-V Table X'!AL21)</f>
        <v/>
      </c>
      <c r="AA21" s="44" t="str">
        <f>IF('[1]Spreads VM-V Table X'!AM21=0,"",'[1]Spreads VM-V Table X'!AM21)</f>
        <v/>
      </c>
      <c r="AB21" s="44" t="str">
        <f>IF('[1]Spreads VM-V Table X'!AN21=0,"",'[1]Spreads VM-V Table X'!AN21)</f>
        <v/>
      </c>
      <c r="AC21" s="44" t="str">
        <f>IF('[1]Spreads VM-V Table X'!AO21=0,"",'[1]Spreads VM-V Table X'!AO21)</f>
        <v/>
      </c>
      <c r="AD21" s="44" t="str">
        <f>IF('[1]Spreads VM-V Table X'!AP21=0,"",'[1]Spreads VM-V Table X'!AP21)</f>
        <v/>
      </c>
      <c r="AE21" s="44" t="str">
        <f>IF('[1]Spreads VM-V Table X'!AQ21=0,"",'[1]Spreads VM-V Table X'!AQ21)</f>
        <v/>
      </c>
      <c r="AF21" s="44" t="str">
        <f>IF('[1]Spreads VM-V Table X'!AR21=0,"",'[1]Spreads VM-V Table X'!AR21)</f>
        <v/>
      </c>
      <c r="AG21" s="44" t="str">
        <f>IF('[1]Spreads VM-V Table X'!AS21=0,"",'[1]Spreads VM-V Table X'!AS21)</f>
        <v/>
      </c>
      <c r="AH21" s="44" t="str">
        <f>IF('[1]Spreads VM-V Table X'!AT21=0,"",'[1]Spreads VM-V Table X'!AT21)</f>
        <v/>
      </c>
      <c r="AI21" s="44" t="str">
        <f>IF('[1]Spreads VM-V Table X'!AU21=0,"",'[1]Spreads VM-V Table X'!AU21)</f>
        <v/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2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>
        <f>IF('[1]Spreads VM-V Table X'!Z22=0,"",'[1]Spreads VM-V Table X'!Z22)</f>
        <v>38.22</v>
      </c>
      <c r="O22" s="44">
        <f>IF('[1]Spreads VM-V Table X'!AA22=0,"",'[1]Spreads VM-V Table X'!AA22)</f>
        <v>51.86</v>
      </c>
      <c r="P22" s="44">
        <f>IF('[1]Spreads VM-V Table X'!AB22=0,"",'[1]Spreads VM-V Table X'!AB22)</f>
        <v>65.489999999999995</v>
      </c>
      <c r="Q22" s="44">
        <f>IF('[1]Spreads VM-V Table X'!AC22=0,"",'[1]Spreads VM-V Table X'!AC22)</f>
        <v>71.05</v>
      </c>
      <c r="R22" s="44">
        <f>IF('[1]Spreads VM-V Table X'!AD22=0,"",'[1]Spreads VM-V Table X'!AD22)</f>
        <v>76.599999999999994</v>
      </c>
      <c r="S22" s="44">
        <f>IF('[1]Spreads VM-V Table X'!AE22=0,"",'[1]Spreads VM-V Table X'!AE22)</f>
        <v>82.15</v>
      </c>
      <c r="T22" s="44">
        <f>IF('[1]Spreads VM-V Table X'!AF22=0,"",'[1]Spreads VM-V Table X'!AF22)</f>
        <v>94.81</v>
      </c>
      <c r="U22" s="44">
        <f>IF('[1]Spreads VM-V Table X'!AG22=0,"",'[1]Spreads VM-V Table X'!AG22)</f>
        <v>107.46</v>
      </c>
      <c r="V22" s="44">
        <f>IF('[1]Spreads VM-V Table X'!AH22=0,"",'[1]Spreads VM-V Table X'!AH22)</f>
        <v>120.11</v>
      </c>
      <c r="W22" s="44">
        <f>IF('[1]Spreads VM-V Table X'!AI22=0,"",'[1]Spreads VM-V Table X'!AI22)</f>
        <v>130.62</v>
      </c>
      <c r="Y22" s="42">
        <v>17</v>
      </c>
      <c r="Z22" s="44" t="str">
        <f>IF('[1]Spreads VM-V Table X'!AL22=0,"",'[1]Spreads VM-V Table X'!AL22)</f>
        <v/>
      </c>
      <c r="AA22" s="44" t="str">
        <f>IF('[1]Spreads VM-V Table X'!AM22=0,"",'[1]Spreads VM-V Table X'!AM22)</f>
        <v/>
      </c>
      <c r="AB22" s="44" t="str">
        <f>IF('[1]Spreads VM-V Table X'!AN22=0,"",'[1]Spreads VM-V Table X'!AN22)</f>
        <v/>
      </c>
      <c r="AC22" s="44" t="str">
        <f>IF('[1]Spreads VM-V Table X'!AO22=0,"",'[1]Spreads VM-V Table X'!AO22)</f>
        <v/>
      </c>
      <c r="AD22" s="44" t="str">
        <f>IF('[1]Spreads VM-V Table X'!AP22=0,"",'[1]Spreads VM-V Table X'!AP22)</f>
        <v/>
      </c>
      <c r="AE22" s="44" t="str">
        <f>IF('[1]Spreads VM-V Table X'!AQ22=0,"",'[1]Spreads VM-V Table X'!AQ22)</f>
        <v/>
      </c>
      <c r="AF22" s="44" t="str">
        <f>IF('[1]Spreads VM-V Table X'!AR22=0,"",'[1]Spreads VM-V Table X'!AR22)</f>
        <v/>
      </c>
      <c r="AG22" s="44" t="str">
        <f>IF('[1]Spreads VM-V Table X'!AS22=0,"",'[1]Spreads VM-V Table X'!AS22)</f>
        <v/>
      </c>
      <c r="AH22" s="44" t="str">
        <f>IF('[1]Spreads VM-V Table X'!AT22=0,"",'[1]Spreads VM-V Table X'!AT22)</f>
        <v/>
      </c>
      <c r="AI22" s="44" t="str">
        <f>IF('[1]Spreads VM-V Table X'!AU22=0,"",'[1]Spreads VM-V Table X'!AU22)</f>
        <v/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2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>
        <f>IF('[1]Spreads VM-V Table X'!Z23=0,"",'[1]Spreads VM-V Table X'!Z23)</f>
        <v>39.880000000000003</v>
      </c>
      <c r="O23" s="44">
        <f>IF('[1]Spreads VM-V Table X'!AA23=0,"",'[1]Spreads VM-V Table X'!AA23)</f>
        <v>53.25</v>
      </c>
      <c r="P23" s="44">
        <f>IF('[1]Spreads VM-V Table X'!AB23=0,"",'[1]Spreads VM-V Table X'!AB23)</f>
        <v>66.61</v>
      </c>
      <c r="Q23" s="44">
        <f>IF('[1]Spreads VM-V Table X'!AC23=0,"",'[1]Spreads VM-V Table X'!AC23)</f>
        <v>71.86</v>
      </c>
      <c r="R23" s="44">
        <f>IF('[1]Spreads VM-V Table X'!AD23=0,"",'[1]Spreads VM-V Table X'!AD23)</f>
        <v>77.099999999999994</v>
      </c>
      <c r="S23" s="44">
        <f>IF('[1]Spreads VM-V Table X'!AE23=0,"",'[1]Spreads VM-V Table X'!AE23)</f>
        <v>82.34</v>
      </c>
      <c r="T23" s="44">
        <f>IF('[1]Spreads VM-V Table X'!AF23=0,"",'[1]Spreads VM-V Table X'!AF23)</f>
        <v>95.23</v>
      </c>
      <c r="U23" s="44">
        <f>IF('[1]Spreads VM-V Table X'!AG23=0,"",'[1]Spreads VM-V Table X'!AG23)</f>
        <v>108.11</v>
      </c>
      <c r="V23" s="44">
        <f>IF('[1]Spreads VM-V Table X'!AH23=0,"",'[1]Spreads VM-V Table X'!AH23)</f>
        <v>120.99</v>
      </c>
      <c r="W23" s="44">
        <f>IF('[1]Spreads VM-V Table X'!AI23=0,"",'[1]Spreads VM-V Table X'!AI23)</f>
        <v>131.06</v>
      </c>
      <c r="Y23" s="42">
        <v>18</v>
      </c>
      <c r="Z23" s="44" t="str">
        <f>IF('[1]Spreads VM-V Table X'!AL23=0,"",'[1]Spreads VM-V Table X'!AL23)</f>
        <v/>
      </c>
      <c r="AA23" s="44" t="str">
        <f>IF('[1]Spreads VM-V Table X'!AM23=0,"",'[1]Spreads VM-V Table X'!AM23)</f>
        <v/>
      </c>
      <c r="AB23" s="44" t="str">
        <f>IF('[1]Spreads VM-V Table X'!AN23=0,"",'[1]Spreads VM-V Table X'!AN23)</f>
        <v/>
      </c>
      <c r="AC23" s="44" t="str">
        <f>IF('[1]Spreads VM-V Table X'!AO23=0,"",'[1]Spreads VM-V Table X'!AO23)</f>
        <v/>
      </c>
      <c r="AD23" s="44" t="str">
        <f>IF('[1]Spreads VM-V Table X'!AP23=0,"",'[1]Spreads VM-V Table X'!AP23)</f>
        <v/>
      </c>
      <c r="AE23" s="44" t="str">
        <f>IF('[1]Spreads VM-V Table X'!AQ23=0,"",'[1]Spreads VM-V Table X'!AQ23)</f>
        <v/>
      </c>
      <c r="AF23" s="44" t="str">
        <f>IF('[1]Spreads VM-V Table X'!AR23=0,"",'[1]Spreads VM-V Table X'!AR23)</f>
        <v/>
      </c>
      <c r="AG23" s="44" t="str">
        <f>IF('[1]Spreads VM-V Table X'!AS23=0,"",'[1]Spreads VM-V Table X'!AS23)</f>
        <v/>
      </c>
      <c r="AH23" s="44" t="str">
        <f>IF('[1]Spreads VM-V Table X'!AT23=0,"",'[1]Spreads VM-V Table X'!AT23)</f>
        <v/>
      </c>
      <c r="AI23" s="44" t="str">
        <f>IF('[1]Spreads VM-V Table X'!AU23=0,"",'[1]Spreads VM-V Table X'!AU23)</f>
        <v/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2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>
        <f>IF('[1]Spreads VM-V Table X'!Z24=0,"",'[1]Spreads VM-V Table X'!Z24)</f>
        <v>41.54</v>
      </c>
      <c r="O24" s="44">
        <f>IF('[1]Spreads VM-V Table X'!AA24=0,"",'[1]Spreads VM-V Table X'!AA24)</f>
        <v>54.63</v>
      </c>
      <c r="P24" s="44">
        <f>IF('[1]Spreads VM-V Table X'!AB24=0,"",'[1]Spreads VM-V Table X'!AB24)</f>
        <v>67.73</v>
      </c>
      <c r="Q24" s="44">
        <f>IF('[1]Spreads VM-V Table X'!AC24=0,"",'[1]Spreads VM-V Table X'!AC24)</f>
        <v>72.66</v>
      </c>
      <c r="R24" s="44">
        <f>IF('[1]Spreads VM-V Table X'!AD24=0,"",'[1]Spreads VM-V Table X'!AD24)</f>
        <v>77.599999999999994</v>
      </c>
      <c r="S24" s="44">
        <f>IF('[1]Spreads VM-V Table X'!AE24=0,"",'[1]Spreads VM-V Table X'!AE24)</f>
        <v>82.54</v>
      </c>
      <c r="T24" s="44">
        <f>IF('[1]Spreads VM-V Table X'!AF24=0,"",'[1]Spreads VM-V Table X'!AF24)</f>
        <v>95.65</v>
      </c>
      <c r="U24" s="44">
        <f>IF('[1]Spreads VM-V Table X'!AG24=0,"",'[1]Spreads VM-V Table X'!AG24)</f>
        <v>108.76</v>
      </c>
      <c r="V24" s="44">
        <f>IF('[1]Spreads VM-V Table X'!AH24=0,"",'[1]Spreads VM-V Table X'!AH24)</f>
        <v>121.87</v>
      </c>
      <c r="W24" s="44">
        <f>IF('[1]Spreads VM-V Table X'!AI24=0,"",'[1]Spreads VM-V Table X'!AI24)</f>
        <v>131.5</v>
      </c>
      <c r="Y24" s="42">
        <v>19</v>
      </c>
      <c r="Z24" s="44" t="str">
        <f>IF('[1]Spreads VM-V Table X'!AL24=0,"",'[1]Spreads VM-V Table X'!AL24)</f>
        <v/>
      </c>
      <c r="AA24" s="44" t="str">
        <f>IF('[1]Spreads VM-V Table X'!AM24=0,"",'[1]Spreads VM-V Table X'!AM24)</f>
        <v/>
      </c>
      <c r="AB24" s="44" t="str">
        <f>IF('[1]Spreads VM-V Table X'!AN24=0,"",'[1]Spreads VM-V Table X'!AN24)</f>
        <v/>
      </c>
      <c r="AC24" s="44" t="str">
        <f>IF('[1]Spreads VM-V Table X'!AO24=0,"",'[1]Spreads VM-V Table X'!AO24)</f>
        <v/>
      </c>
      <c r="AD24" s="44" t="str">
        <f>IF('[1]Spreads VM-V Table X'!AP24=0,"",'[1]Spreads VM-V Table X'!AP24)</f>
        <v/>
      </c>
      <c r="AE24" s="44" t="str">
        <f>IF('[1]Spreads VM-V Table X'!AQ24=0,"",'[1]Spreads VM-V Table X'!AQ24)</f>
        <v/>
      </c>
      <c r="AF24" s="44" t="str">
        <f>IF('[1]Spreads VM-V Table X'!AR24=0,"",'[1]Spreads VM-V Table X'!AR24)</f>
        <v/>
      </c>
      <c r="AG24" s="44" t="str">
        <f>IF('[1]Spreads VM-V Table X'!AS24=0,"",'[1]Spreads VM-V Table X'!AS24)</f>
        <v/>
      </c>
      <c r="AH24" s="44" t="str">
        <f>IF('[1]Spreads VM-V Table X'!AT24=0,"",'[1]Spreads VM-V Table X'!AT24)</f>
        <v/>
      </c>
      <c r="AI24" s="44" t="str">
        <f>IF('[1]Spreads VM-V Table X'!AU24=0,"",'[1]Spreads VM-V Table X'!AU24)</f>
        <v/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2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>
        <f>IF('[1]Spreads VM-V Table X'!Z25=0,"",'[1]Spreads VM-V Table X'!Z25)</f>
        <v>43.2</v>
      </c>
      <c r="O25" s="44">
        <f>IF('[1]Spreads VM-V Table X'!AA25=0,"",'[1]Spreads VM-V Table X'!AA25)</f>
        <v>56.02</v>
      </c>
      <c r="P25" s="44">
        <f>IF('[1]Spreads VM-V Table X'!AB25=0,"",'[1]Spreads VM-V Table X'!AB25)</f>
        <v>68.849999999999994</v>
      </c>
      <c r="Q25" s="44">
        <f>IF('[1]Spreads VM-V Table X'!AC25=0,"",'[1]Spreads VM-V Table X'!AC25)</f>
        <v>73.47</v>
      </c>
      <c r="R25" s="44">
        <f>IF('[1]Spreads VM-V Table X'!AD25=0,"",'[1]Spreads VM-V Table X'!AD25)</f>
        <v>78.099999999999994</v>
      </c>
      <c r="S25" s="44">
        <f>IF('[1]Spreads VM-V Table X'!AE25=0,"",'[1]Spreads VM-V Table X'!AE25)</f>
        <v>82.73</v>
      </c>
      <c r="T25" s="44">
        <f>IF('[1]Spreads VM-V Table X'!AF25=0,"",'[1]Spreads VM-V Table X'!AF25)</f>
        <v>96.07</v>
      </c>
      <c r="U25" s="44">
        <f>IF('[1]Spreads VM-V Table X'!AG25=0,"",'[1]Spreads VM-V Table X'!AG25)</f>
        <v>109.41</v>
      </c>
      <c r="V25" s="44">
        <f>IF('[1]Spreads VM-V Table X'!AH25=0,"",'[1]Spreads VM-V Table X'!AH25)</f>
        <v>122.74</v>
      </c>
      <c r="W25" s="44">
        <f>IF('[1]Spreads VM-V Table X'!AI25=0,"",'[1]Spreads VM-V Table X'!AI25)</f>
        <v>131.94</v>
      </c>
      <c r="Y25" s="42">
        <v>20</v>
      </c>
      <c r="Z25" s="44" t="str">
        <f>IF('[1]Spreads VM-V Table X'!AL25=0,"",'[1]Spreads VM-V Table X'!AL25)</f>
        <v/>
      </c>
      <c r="AA25" s="44" t="str">
        <f>IF('[1]Spreads VM-V Table X'!AM25=0,"",'[1]Spreads VM-V Table X'!AM25)</f>
        <v/>
      </c>
      <c r="AB25" s="44" t="str">
        <f>IF('[1]Spreads VM-V Table X'!AN25=0,"",'[1]Spreads VM-V Table X'!AN25)</f>
        <v/>
      </c>
      <c r="AC25" s="44" t="str">
        <f>IF('[1]Spreads VM-V Table X'!AO25=0,"",'[1]Spreads VM-V Table X'!AO25)</f>
        <v/>
      </c>
      <c r="AD25" s="44" t="str">
        <f>IF('[1]Spreads VM-V Table X'!AP25=0,"",'[1]Spreads VM-V Table X'!AP25)</f>
        <v/>
      </c>
      <c r="AE25" s="44" t="str">
        <f>IF('[1]Spreads VM-V Table X'!AQ25=0,"",'[1]Spreads VM-V Table X'!AQ25)</f>
        <v/>
      </c>
      <c r="AF25" s="44" t="str">
        <f>IF('[1]Spreads VM-V Table X'!AR25=0,"",'[1]Spreads VM-V Table X'!AR25)</f>
        <v/>
      </c>
      <c r="AG25" s="44" t="str">
        <f>IF('[1]Spreads VM-V Table X'!AS25=0,"",'[1]Spreads VM-V Table X'!AS25)</f>
        <v/>
      </c>
      <c r="AH25" s="44" t="str">
        <f>IF('[1]Spreads VM-V Table X'!AT25=0,"",'[1]Spreads VM-V Table X'!AT25)</f>
        <v/>
      </c>
      <c r="AI25" s="44" t="str">
        <f>IF('[1]Spreads VM-V Table X'!AU25=0,"",'[1]Spreads VM-V Table X'!AU25)</f>
        <v/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2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>
        <f>IF('[1]Spreads VM-V Table X'!Z26=0,"",'[1]Spreads VM-V Table X'!Z26)</f>
        <v>44.86</v>
      </c>
      <c r="O26" s="44">
        <f>IF('[1]Spreads VM-V Table X'!AA26=0,"",'[1]Spreads VM-V Table X'!AA26)</f>
        <v>57.41</v>
      </c>
      <c r="P26" s="44">
        <f>IF('[1]Spreads VM-V Table X'!AB26=0,"",'[1]Spreads VM-V Table X'!AB26)</f>
        <v>69.97</v>
      </c>
      <c r="Q26" s="44">
        <f>IF('[1]Spreads VM-V Table X'!AC26=0,"",'[1]Spreads VM-V Table X'!AC26)</f>
        <v>74.28</v>
      </c>
      <c r="R26" s="44">
        <f>IF('[1]Spreads VM-V Table X'!AD26=0,"",'[1]Spreads VM-V Table X'!AD26)</f>
        <v>78.599999999999994</v>
      </c>
      <c r="S26" s="44">
        <f>IF('[1]Spreads VM-V Table X'!AE26=0,"",'[1]Spreads VM-V Table X'!AE26)</f>
        <v>82.92</v>
      </c>
      <c r="T26" s="44">
        <f>IF('[1]Spreads VM-V Table X'!AF26=0,"",'[1]Spreads VM-V Table X'!AF26)</f>
        <v>96.49</v>
      </c>
      <c r="U26" s="44">
        <f>IF('[1]Spreads VM-V Table X'!AG26=0,"",'[1]Spreads VM-V Table X'!AG26)</f>
        <v>110.05</v>
      </c>
      <c r="V26" s="44">
        <f>IF('[1]Spreads VM-V Table X'!AH26=0,"",'[1]Spreads VM-V Table X'!AH26)</f>
        <v>123.62</v>
      </c>
      <c r="W26" s="44">
        <f>IF('[1]Spreads VM-V Table X'!AI26=0,"",'[1]Spreads VM-V Table X'!AI26)</f>
        <v>132.38</v>
      </c>
      <c r="Y26" s="42">
        <v>21</v>
      </c>
      <c r="Z26" s="44" t="str">
        <f>IF('[1]Spreads VM-V Table X'!AL26=0,"",'[1]Spreads VM-V Table X'!AL26)</f>
        <v/>
      </c>
      <c r="AA26" s="44" t="str">
        <f>IF('[1]Spreads VM-V Table X'!AM26=0,"",'[1]Spreads VM-V Table X'!AM26)</f>
        <v/>
      </c>
      <c r="AB26" s="44" t="str">
        <f>IF('[1]Spreads VM-V Table X'!AN26=0,"",'[1]Spreads VM-V Table X'!AN26)</f>
        <v/>
      </c>
      <c r="AC26" s="44" t="str">
        <f>IF('[1]Spreads VM-V Table X'!AO26=0,"",'[1]Spreads VM-V Table X'!AO26)</f>
        <v/>
      </c>
      <c r="AD26" s="44" t="str">
        <f>IF('[1]Spreads VM-V Table X'!AP26=0,"",'[1]Spreads VM-V Table X'!AP26)</f>
        <v/>
      </c>
      <c r="AE26" s="44" t="str">
        <f>IF('[1]Spreads VM-V Table X'!AQ26=0,"",'[1]Spreads VM-V Table X'!AQ26)</f>
        <v/>
      </c>
      <c r="AF26" s="44" t="str">
        <f>IF('[1]Spreads VM-V Table X'!AR26=0,"",'[1]Spreads VM-V Table X'!AR26)</f>
        <v/>
      </c>
      <c r="AG26" s="44" t="str">
        <f>IF('[1]Spreads VM-V Table X'!AS26=0,"",'[1]Spreads VM-V Table X'!AS26)</f>
        <v/>
      </c>
      <c r="AH26" s="44" t="str">
        <f>IF('[1]Spreads VM-V Table X'!AT26=0,"",'[1]Spreads VM-V Table X'!AT26)</f>
        <v/>
      </c>
      <c r="AI26" s="44" t="str">
        <f>IF('[1]Spreads VM-V Table X'!AU26=0,"",'[1]Spreads VM-V Table X'!AU26)</f>
        <v/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2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>
        <f>IF('[1]Spreads VM-V Table X'!Z27=0,"",'[1]Spreads VM-V Table X'!Z27)</f>
        <v>46.52</v>
      </c>
      <c r="O27" s="44">
        <f>IF('[1]Spreads VM-V Table X'!AA27=0,"",'[1]Spreads VM-V Table X'!AA27)</f>
        <v>58.8</v>
      </c>
      <c r="P27" s="44">
        <f>IF('[1]Spreads VM-V Table X'!AB27=0,"",'[1]Spreads VM-V Table X'!AB27)</f>
        <v>71.08</v>
      </c>
      <c r="Q27" s="44">
        <f>IF('[1]Spreads VM-V Table X'!AC27=0,"",'[1]Spreads VM-V Table X'!AC27)</f>
        <v>75.09</v>
      </c>
      <c r="R27" s="44">
        <f>IF('[1]Spreads VM-V Table X'!AD27=0,"",'[1]Spreads VM-V Table X'!AD27)</f>
        <v>79.099999999999994</v>
      </c>
      <c r="S27" s="44">
        <f>IF('[1]Spreads VM-V Table X'!AE27=0,"",'[1]Spreads VM-V Table X'!AE27)</f>
        <v>83.11</v>
      </c>
      <c r="T27" s="44">
        <f>IF('[1]Spreads VM-V Table X'!AF27=0,"",'[1]Spreads VM-V Table X'!AF27)</f>
        <v>96.91</v>
      </c>
      <c r="U27" s="44">
        <f>IF('[1]Spreads VM-V Table X'!AG27=0,"",'[1]Spreads VM-V Table X'!AG27)</f>
        <v>110.7</v>
      </c>
      <c r="V27" s="44">
        <f>IF('[1]Spreads VM-V Table X'!AH27=0,"",'[1]Spreads VM-V Table X'!AH27)</f>
        <v>124.5</v>
      </c>
      <c r="W27" s="44">
        <f>IF('[1]Spreads VM-V Table X'!AI27=0,"",'[1]Spreads VM-V Table X'!AI27)</f>
        <v>132.82</v>
      </c>
      <c r="Y27" s="42">
        <v>22</v>
      </c>
      <c r="Z27" s="44" t="str">
        <f>IF('[1]Spreads VM-V Table X'!AL27=0,"",'[1]Spreads VM-V Table X'!AL27)</f>
        <v/>
      </c>
      <c r="AA27" s="44" t="str">
        <f>IF('[1]Spreads VM-V Table X'!AM27=0,"",'[1]Spreads VM-V Table X'!AM27)</f>
        <v/>
      </c>
      <c r="AB27" s="44" t="str">
        <f>IF('[1]Spreads VM-V Table X'!AN27=0,"",'[1]Spreads VM-V Table X'!AN27)</f>
        <v/>
      </c>
      <c r="AC27" s="44" t="str">
        <f>IF('[1]Spreads VM-V Table X'!AO27=0,"",'[1]Spreads VM-V Table X'!AO27)</f>
        <v/>
      </c>
      <c r="AD27" s="44" t="str">
        <f>IF('[1]Spreads VM-V Table X'!AP27=0,"",'[1]Spreads VM-V Table X'!AP27)</f>
        <v/>
      </c>
      <c r="AE27" s="44" t="str">
        <f>IF('[1]Spreads VM-V Table X'!AQ27=0,"",'[1]Spreads VM-V Table X'!AQ27)</f>
        <v/>
      </c>
      <c r="AF27" s="44" t="str">
        <f>IF('[1]Spreads VM-V Table X'!AR27=0,"",'[1]Spreads VM-V Table X'!AR27)</f>
        <v/>
      </c>
      <c r="AG27" s="44" t="str">
        <f>IF('[1]Spreads VM-V Table X'!AS27=0,"",'[1]Spreads VM-V Table X'!AS27)</f>
        <v/>
      </c>
      <c r="AH27" s="44" t="str">
        <f>IF('[1]Spreads VM-V Table X'!AT27=0,"",'[1]Spreads VM-V Table X'!AT27)</f>
        <v/>
      </c>
      <c r="AI27" s="44" t="str">
        <f>IF('[1]Spreads VM-V Table X'!AU27=0,"",'[1]Spreads VM-V Table X'!AU27)</f>
        <v/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2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>
        <f>IF('[1]Spreads VM-V Table X'!Z28=0,"",'[1]Spreads VM-V Table X'!Z28)</f>
        <v>48.18</v>
      </c>
      <c r="O28" s="44">
        <f>IF('[1]Spreads VM-V Table X'!AA28=0,"",'[1]Spreads VM-V Table X'!AA28)</f>
        <v>60.19</v>
      </c>
      <c r="P28" s="44">
        <f>IF('[1]Spreads VM-V Table X'!AB28=0,"",'[1]Spreads VM-V Table X'!AB28)</f>
        <v>72.2</v>
      </c>
      <c r="Q28" s="44">
        <f>IF('[1]Spreads VM-V Table X'!AC28=0,"",'[1]Spreads VM-V Table X'!AC28)</f>
        <v>75.900000000000006</v>
      </c>
      <c r="R28" s="44">
        <f>IF('[1]Spreads VM-V Table X'!AD28=0,"",'[1]Spreads VM-V Table X'!AD28)</f>
        <v>79.599999999999994</v>
      </c>
      <c r="S28" s="44">
        <f>IF('[1]Spreads VM-V Table X'!AE28=0,"",'[1]Spreads VM-V Table X'!AE28)</f>
        <v>83.3</v>
      </c>
      <c r="T28" s="44">
        <f>IF('[1]Spreads VM-V Table X'!AF28=0,"",'[1]Spreads VM-V Table X'!AF28)</f>
        <v>97.33</v>
      </c>
      <c r="U28" s="44">
        <f>IF('[1]Spreads VM-V Table X'!AG28=0,"",'[1]Spreads VM-V Table X'!AG28)</f>
        <v>111.35</v>
      </c>
      <c r="V28" s="44">
        <f>IF('[1]Spreads VM-V Table X'!AH28=0,"",'[1]Spreads VM-V Table X'!AH28)</f>
        <v>125.38</v>
      </c>
      <c r="W28" s="44">
        <f>IF('[1]Spreads VM-V Table X'!AI28=0,"",'[1]Spreads VM-V Table X'!AI28)</f>
        <v>133.26</v>
      </c>
      <c r="Y28" s="42">
        <v>23</v>
      </c>
      <c r="Z28" s="44" t="str">
        <f>IF('[1]Spreads VM-V Table X'!AL28=0,"",'[1]Spreads VM-V Table X'!AL28)</f>
        <v/>
      </c>
      <c r="AA28" s="44" t="str">
        <f>IF('[1]Spreads VM-V Table X'!AM28=0,"",'[1]Spreads VM-V Table X'!AM28)</f>
        <v/>
      </c>
      <c r="AB28" s="44" t="str">
        <f>IF('[1]Spreads VM-V Table X'!AN28=0,"",'[1]Spreads VM-V Table X'!AN28)</f>
        <v/>
      </c>
      <c r="AC28" s="44" t="str">
        <f>IF('[1]Spreads VM-V Table X'!AO28=0,"",'[1]Spreads VM-V Table X'!AO28)</f>
        <v/>
      </c>
      <c r="AD28" s="44" t="str">
        <f>IF('[1]Spreads VM-V Table X'!AP28=0,"",'[1]Spreads VM-V Table X'!AP28)</f>
        <v/>
      </c>
      <c r="AE28" s="44" t="str">
        <f>IF('[1]Spreads VM-V Table X'!AQ28=0,"",'[1]Spreads VM-V Table X'!AQ28)</f>
        <v/>
      </c>
      <c r="AF28" s="44" t="str">
        <f>IF('[1]Spreads VM-V Table X'!AR28=0,"",'[1]Spreads VM-V Table X'!AR28)</f>
        <v/>
      </c>
      <c r="AG28" s="44" t="str">
        <f>IF('[1]Spreads VM-V Table X'!AS28=0,"",'[1]Spreads VM-V Table X'!AS28)</f>
        <v/>
      </c>
      <c r="AH28" s="44" t="str">
        <f>IF('[1]Spreads VM-V Table X'!AT28=0,"",'[1]Spreads VM-V Table X'!AT28)</f>
        <v/>
      </c>
      <c r="AI28" s="44" t="str">
        <f>IF('[1]Spreads VM-V Table X'!AU28=0,"",'[1]Spreads VM-V Table X'!AU28)</f>
        <v/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2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>
        <f>IF('[1]Spreads VM-V Table X'!Z29=0,"",'[1]Spreads VM-V Table X'!Z29)</f>
        <v>49.84</v>
      </c>
      <c r="O29" s="44">
        <f>IF('[1]Spreads VM-V Table X'!AA29=0,"",'[1]Spreads VM-V Table X'!AA29)</f>
        <v>61.58</v>
      </c>
      <c r="P29" s="44">
        <f>IF('[1]Spreads VM-V Table X'!AB29=0,"",'[1]Spreads VM-V Table X'!AB29)</f>
        <v>73.319999999999993</v>
      </c>
      <c r="Q29" s="44">
        <f>IF('[1]Spreads VM-V Table X'!AC29=0,"",'[1]Spreads VM-V Table X'!AC29)</f>
        <v>76.709999999999994</v>
      </c>
      <c r="R29" s="44">
        <f>IF('[1]Spreads VM-V Table X'!AD29=0,"",'[1]Spreads VM-V Table X'!AD29)</f>
        <v>80.099999999999994</v>
      </c>
      <c r="S29" s="44">
        <f>IF('[1]Spreads VM-V Table X'!AE29=0,"",'[1]Spreads VM-V Table X'!AE29)</f>
        <v>83.49</v>
      </c>
      <c r="T29" s="44">
        <f>IF('[1]Spreads VM-V Table X'!AF29=0,"",'[1]Spreads VM-V Table X'!AF29)</f>
        <v>97.75</v>
      </c>
      <c r="U29" s="44">
        <f>IF('[1]Spreads VM-V Table X'!AG29=0,"",'[1]Spreads VM-V Table X'!AG29)</f>
        <v>112</v>
      </c>
      <c r="V29" s="44">
        <f>IF('[1]Spreads VM-V Table X'!AH29=0,"",'[1]Spreads VM-V Table X'!AH29)</f>
        <v>126.26</v>
      </c>
      <c r="W29" s="44">
        <f>IF('[1]Spreads VM-V Table X'!AI29=0,"",'[1]Spreads VM-V Table X'!AI29)</f>
        <v>133.69999999999999</v>
      </c>
      <c r="Y29" s="42">
        <v>24</v>
      </c>
      <c r="Z29" s="44" t="str">
        <f>IF('[1]Spreads VM-V Table X'!AL29=0,"",'[1]Spreads VM-V Table X'!AL29)</f>
        <v/>
      </c>
      <c r="AA29" s="44" t="str">
        <f>IF('[1]Spreads VM-V Table X'!AM29=0,"",'[1]Spreads VM-V Table X'!AM29)</f>
        <v/>
      </c>
      <c r="AB29" s="44" t="str">
        <f>IF('[1]Spreads VM-V Table X'!AN29=0,"",'[1]Spreads VM-V Table X'!AN29)</f>
        <v/>
      </c>
      <c r="AC29" s="44" t="str">
        <f>IF('[1]Spreads VM-V Table X'!AO29=0,"",'[1]Spreads VM-V Table X'!AO29)</f>
        <v/>
      </c>
      <c r="AD29" s="44" t="str">
        <f>IF('[1]Spreads VM-V Table X'!AP29=0,"",'[1]Spreads VM-V Table X'!AP29)</f>
        <v/>
      </c>
      <c r="AE29" s="44" t="str">
        <f>IF('[1]Spreads VM-V Table X'!AQ29=0,"",'[1]Spreads VM-V Table X'!AQ29)</f>
        <v/>
      </c>
      <c r="AF29" s="44" t="str">
        <f>IF('[1]Spreads VM-V Table X'!AR29=0,"",'[1]Spreads VM-V Table X'!AR29)</f>
        <v/>
      </c>
      <c r="AG29" s="44" t="str">
        <f>IF('[1]Spreads VM-V Table X'!AS29=0,"",'[1]Spreads VM-V Table X'!AS29)</f>
        <v/>
      </c>
      <c r="AH29" s="44" t="str">
        <f>IF('[1]Spreads VM-V Table X'!AT29=0,"",'[1]Spreads VM-V Table X'!AT29)</f>
        <v/>
      </c>
      <c r="AI29" s="44" t="str">
        <f>IF('[1]Spreads VM-V Table X'!AU29=0,"",'[1]Spreads VM-V Table X'!AU29)</f>
        <v/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2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>
        <f>IF('[1]Spreads VM-V Table X'!Z30=0,"",'[1]Spreads VM-V Table X'!Z30)</f>
        <v>51.5</v>
      </c>
      <c r="O30" s="44">
        <f>IF('[1]Spreads VM-V Table X'!AA30=0,"",'[1]Spreads VM-V Table X'!AA30)</f>
        <v>62.97</v>
      </c>
      <c r="P30" s="44">
        <f>IF('[1]Spreads VM-V Table X'!AB30=0,"",'[1]Spreads VM-V Table X'!AB30)</f>
        <v>74.44</v>
      </c>
      <c r="Q30" s="44">
        <f>IF('[1]Spreads VM-V Table X'!AC30=0,"",'[1]Spreads VM-V Table X'!AC30)</f>
        <v>77.52</v>
      </c>
      <c r="R30" s="44">
        <f>IF('[1]Spreads VM-V Table X'!AD30=0,"",'[1]Spreads VM-V Table X'!AD30)</f>
        <v>80.599999999999994</v>
      </c>
      <c r="S30" s="44">
        <f>IF('[1]Spreads VM-V Table X'!AE30=0,"",'[1]Spreads VM-V Table X'!AE30)</f>
        <v>83.68</v>
      </c>
      <c r="T30" s="44">
        <f>IF('[1]Spreads VM-V Table X'!AF30=0,"",'[1]Spreads VM-V Table X'!AF30)</f>
        <v>98.17</v>
      </c>
      <c r="U30" s="44">
        <f>IF('[1]Spreads VM-V Table X'!AG30=0,"",'[1]Spreads VM-V Table X'!AG30)</f>
        <v>112.65</v>
      </c>
      <c r="V30" s="44">
        <f>IF('[1]Spreads VM-V Table X'!AH30=0,"",'[1]Spreads VM-V Table X'!AH30)</f>
        <v>127.14</v>
      </c>
      <c r="W30" s="44">
        <f>IF('[1]Spreads VM-V Table X'!AI30=0,"",'[1]Spreads VM-V Table X'!AI30)</f>
        <v>134.13999999999999</v>
      </c>
      <c r="Y30" s="42">
        <v>25</v>
      </c>
      <c r="Z30" s="44" t="str">
        <f>IF('[1]Spreads VM-V Table X'!AL30=0,"",'[1]Spreads VM-V Table X'!AL30)</f>
        <v/>
      </c>
      <c r="AA30" s="44" t="str">
        <f>IF('[1]Spreads VM-V Table X'!AM30=0,"",'[1]Spreads VM-V Table X'!AM30)</f>
        <v/>
      </c>
      <c r="AB30" s="44" t="str">
        <f>IF('[1]Spreads VM-V Table X'!AN30=0,"",'[1]Spreads VM-V Table X'!AN30)</f>
        <v/>
      </c>
      <c r="AC30" s="44" t="str">
        <f>IF('[1]Spreads VM-V Table X'!AO30=0,"",'[1]Spreads VM-V Table X'!AO30)</f>
        <v/>
      </c>
      <c r="AD30" s="44" t="str">
        <f>IF('[1]Spreads VM-V Table X'!AP30=0,"",'[1]Spreads VM-V Table X'!AP30)</f>
        <v/>
      </c>
      <c r="AE30" s="44" t="str">
        <f>IF('[1]Spreads VM-V Table X'!AQ30=0,"",'[1]Spreads VM-V Table X'!AQ30)</f>
        <v/>
      </c>
      <c r="AF30" s="44" t="str">
        <f>IF('[1]Spreads VM-V Table X'!AR30=0,"",'[1]Spreads VM-V Table X'!AR30)</f>
        <v/>
      </c>
      <c r="AG30" s="44" t="str">
        <f>IF('[1]Spreads VM-V Table X'!AS30=0,"",'[1]Spreads VM-V Table X'!AS30)</f>
        <v/>
      </c>
      <c r="AH30" s="44" t="str">
        <f>IF('[1]Spreads VM-V Table X'!AT30=0,"",'[1]Spreads VM-V Table X'!AT30)</f>
        <v/>
      </c>
      <c r="AI30" s="44" t="str">
        <f>IF('[1]Spreads VM-V Table X'!AU30=0,"",'[1]Spreads VM-V Table X'!AU30)</f>
        <v/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2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>
        <f>IF('[1]Spreads VM-V Table X'!Z31=0,"",'[1]Spreads VM-V Table X'!Z31)</f>
        <v>53.16</v>
      </c>
      <c r="O31" s="44">
        <f>IF('[1]Spreads VM-V Table X'!AA31=0,"",'[1]Spreads VM-V Table X'!AA31)</f>
        <v>64.36</v>
      </c>
      <c r="P31" s="44">
        <f>IF('[1]Spreads VM-V Table X'!AB31=0,"",'[1]Spreads VM-V Table X'!AB31)</f>
        <v>75.56</v>
      </c>
      <c r="Q31" s="44">
        <f>IF('[1]Spreads VM-V Table X'!AC31=0,"",'[1]Spreads VM-V Table X'!AC31)</f>
        <v>78.33</v>
      </c>
      <c r="R31" s="44">
        <f>IF('[1]Spreads VM-V Table X'!AD31=0,"",'[1]Spreads VM-V Table X'!AD31)</f>
        <v>81.099999999999994</v>
      </c>
      <c r="S31" s="44">
        <f>IF('[1]Spreads VM-V Table X'!AE31=0,"",'[1]Spreads VM-V Table X'!AE31)</f>
        <v>83.87</v>
      </c>
      <c r="T31" s="44">
        <f>IF('[1]Spreads VM-V Table X'!AF31=0,"",'[1]Spreads VM-V Table X'!AF31)</f>
        <v>98.59</v>
      </c>
      <c r="U31" s="44">
        <f>IF('[1]Spreads VM-V Table X'!AG31=0,"",'[1]Spreads VM-V Table X'!AG31)</f>
        <v>113.3</v>
      </c>
      <c r="V31" s="44">
        <f>IF('[1]Spreads VM-V Table X'!AH31=0,"",'[1]Spreads VM-V Table X'!AH31)</f>
        <v>128.02000000000001</v>
      </c>
      <c r="W31" s="44">
        <f>IF('[1]Spreads VM-V Table X'!AI31=0,"",'[1]Spreads VM-V Table X'!AI31)</f>
        <v>134.58000000000001</v>
      </c>
      <c r="Y31" s="42">
        <v>26</v>
      </c>
      <c r="Z31" s="44" t="str">
        <f>IF('[1]Spreads VM-V Table X'!AL31=0,"",'[1]Spreads VM-V Table X'!AL31)</f>
        <v/>
      </c>
      <c r="AA31" s="44" t="str">
        <f>IF('[1]Spreads VM-V Table X'!AM31=0,"",'[1]Spreads VM-V Table X'!AM31)</f>
        <v/>
      </c>
      <c r="AB31" s="44" t="str">
        <f>IF('[1]Spreads VM-V Table X'!AN31=0,"",'[1]Spreads VM-V Table X'!AN31)</f>
        <v/>
      </c>
      <c r="AC31" s="44" t="str">
        <f>IF('[1]Spreads VM-V Table X'!AO31=0,"",'[1]Spreads VM-V Table X'!AO31)</f>
        <v/>
      </c>
      <c r="AD31" s="44" t="str">
        <f>IF('[1]Spreads VM-V Table X'!AP31=0,"",'[1]Spreads VM-V Table X'!AP31)</f>
        <v/>
      </c>
      <c r="AE31" s="44" t="str">
        <f>IF('[1]Spreads VM-V Table X'!AQ31=0,"",'[1]Spreads VM-V Table X'!AQ31)</f>
        <v/>
      </c>
      <c r="AF31" s="44" t="str">
        <f>IF('[1]Spreads VM-V Table X'!AR31=0,"",'[1]Spreads VM-V Table X'!AR31)</f>
        <v/>
      </c>
      <c r="AG31" s="44" t="str">
        <f>IF('[1]Spreads VM-V Table X'!AS31=0,"",'[1]Spreads VM-V Table X'!AS31)</f>
        <v/>
      </c>
      <c r="AH31" s="44" t="str">
        <f>IF('[1]Spreads VM-V Table X'!AT31=0,"",'[1]Spreads VM-V Table X'!AT31)</f>
        <v/>
      </c>
      <c r="AI31" s="44" t="str">
        <f>IF('[1]Spreads VM-V Table X'!AU31=0,"",'[1]Spreads VM-V Table X'!AU31)</f>
        <v/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2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>
        <f>IF('[1]Spreads VM-V Table X'!Z32=0,"",'[1]Spreads VM-V Table X'!Z32)</f>
        <v>54.81</v>
      </c>
      <c r="O32" s="44">
        <f>IF('[1]Spreads VM-V Table X'!AA32=0,"",'[1]Spreads VM-V Table X'!AA32)</f>
        <v>65.739999999999995</v>
      </c>
      <c r="P32" s="44">
        <f>IF('[1]Spreads VM-V Table X'!AB32=0,"",'[1]Spreads VM-V Table X'!AB32)</f>
        <v>76.680000000000007</v>
      </c>
      <c r="Q32" s="44">
        <f>IF('[1]Spreads VM-V Table X'!AC32=0,"",'[1]Spreads VM-V Table X'!AC32)</f>
        <v>79.14</v>
      </c>
      <c r="R32" s="44">
        <f>IF('[1]Spreads VM-V Table X'!AD32=0,"",'[1]Spreads VM-V Table X'!AD32)</f>
        <v>81.599999999999994</v>
      </c>
      <c r="S32" s="44">
        <f>IF('[1]Spreads VM-V Table X'!AE32=0,"",'[1]Spreads VM-V Table X'!AE32)</f>
        <v>84.06</v>
      </c>
      <c r="T32" s="44">
        <f>IF('[1]Spreads VM-V Table X'!AF32=0,"",'[1]Spreads VM-V Table X'!AF32)</f>
        <v>99.01</v>
      </c>
      <c r="U32" s="44">
        <f>IF('[1]Spreads VM-V Table X'!AG32=0,"",'[1]Spreads VM-V Table X'!AG32)</f>
        <v>113.95</v>
      </c>
      <c r="V32" s="44">
        <f>IF('[1]Spreads VM-V Table X'!AH32=0,"",'[1]Spreads VM-V Table X'!AH32)</f>
        <v>128.9</v>
      </c>
      <c r="W32" s="44">
        <f>IF('[1]Spreads VM-V Table X'!AI32=0,"",'[1]Spreads VM-V Table X'!AI32)</f>
        <v>135.02000000000001</v>
      </c>
      <c r="Y32" s="42">
        <v>27</v>
      </c>
      <c r="Z32" s="44" t="str">
        <f>IF('[1]Spreads VM-V Table X'!AL32=0,"",'[1]Spreads VM-V Table X'!AL32)</f>
        <v/>
      </c>
      <c r="AA32" s="44" t="str">
        <f>IF('[1]Spreads VM-V Table X'!AM32=0,"",'[1]Spreads VM-V Table X'!AM32)</f>
        <v/>
      </c>
      <c r="AB32" s="44" t="str">
        <f>IF('[1]Spreads VM-V Table X'!AN32=0,"",'[1]Spreads VM-V Table X'!AN32)</f>
        <v/>
      </c>
      <c r="AC32" s="44" t="str">
        <f>IF('[1]Spreads VM-V Table X'!AO32=0,"",'[1]Spreads VM-V Table X'!AO32)</f>
        <v/>
      </c>
      <c r="AD32" s="44" t="str">
        <f>IF('[1]Spreads VM-V Table X'!AP32=0,"",'[1]Spreads VM-V Table X'!AP32)</f>
        <v/>
      </c>
      <c r="AE32" s="44" t="str">
        <f>IF('[1]Spreads VM-V Table X'!AQ32=0,"",'[1]Spreads VM-V Table X'!AQ32)</f>
        <v/>
      </c>
      <c r="AF32" s="44" t="str">
        <f>IF('[1]Spreads VM-V Table X'!AR32=0,"",'[1]Spreads VM-V Table X'!AR32)</f>
        <v/>
      </c>
      <c r="AG32" s="44" t="str">
        <f>IF('[1]Spreads VM-V Table X'!AS32=0,"",'[1]Spreads VM-V Table X'!AS32)</f>
        <v/>
      </c>
      <c r="AH32" s="44" t="str">
        <f>IF('[1]Spreads VM-V Table X'!AT32=0,"",'[1]Spreads VM-V Table X'!AT32)</f>
        <v/>
      </c>
      <c r="AI32" s="44" t="str">
        <f>IF('[1]Spreads VM-V Table X'!AU32=0,"",'[1]Spreads VM-V Table X'!AU32)</f>
        <v/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2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>
        <f>IF('[1]Spreads VM-V Table X'!Z33=0,"",'[1]Spreads VM-V Table X'!Z33)</f>
        <v>56.47</v>
      </c>
      <c r="O33" s="44">
        <f>IF('[1]Spreads VM-V Table X'!AA33=0,"",'[1]Spreads VM-V Table X'!AA33)</f>
        <v>67.13</v>
      </c>
      <c r="P33" s="44">
        <f>IF('[1]Spreads VM-V Table X'!AB33=0,"",'[1]Spreads VM-V Table X'!AB33)</f>
        <v>77.790000000000006</v>
      </c>
      <c r="Q33" s="44">
        <f>IF('[1]Spreads VM-V Table X'!AC33=0,"",'[1]Spreads VM-V Table X'!AC33)</f>
        <v>79.95</v>
      </c>
      <c r="R33" s="44">
        <f>IF('[1]Spreads VM-V Table X'!AD33=0,"",'[1]Spreads VM-V Table X'!AD33)</f>
        <v>82.1</v>
      </c>
      <c r="S33" s="44">
        <f>IF('[1]Spreads VM-V Table X'!AE33=0,"",'[1]Spreads VM-V Table X'!AE33)</f>
        <v>84.25</v>
      </c>
      <c r="T33" s="44">
        <f>IF('[1]Spreads VM-V Table X'!AF33=0,"",'[1]Spreads VM-V Table X'!AF33)</f>
        <v>99.43</v>
      </c>
      <c r="U33" s="44">
        <f>IF('[1]Spreads VM-V Table X'!AG33=0,"",'[1]Spreads VM-V Table X'!AG33)</f>
        <v>114.6</v>
      </c>
      <c r="V33" s="44">
        <f>IF('[1]Spreads VM-V Table X'!AH33=0,"",'[1]Spreads VM-V Table X'!AH33)</f>
        <v>129.78</v>
      </c>
      <c r="W33" s="44">
        <f>IF('[1]Spreads VM-V Table X'!AI33=0,"",'[1]Spreads VM-V Table X'!AI33)</f>
        <v>135.46</v>
      </c>
      <c r="Y33" s="42">
        <v>28</v>
      </c>
      <c r="Z33" s="44" t="str">
        <f>IF('[1]Spreads VM-V Table X'!AL33=0,"",'[1]Spreads VM-V Table X'!AL33)</f>
        <v/>
      </c>
      <c r="AA33" s="44" t="str">
        <f>IF('[1]Spreads VM-V Table X'!AM33=0,"",'[1]Spreads VM-V Table X'!AM33)</f>
        <v/>
      </c>
      <c r="AB33" s="44" t="str">
        <f>IF('[1]Spreads VM-V Table X'!AN33=0,"",'[1]Spreads VM-V Table X'!AN33)</f>
        <v/>
      </c>
      <c r="AC33" s="44" t="str">
        <f>IF('[1]Spreads VM-V Table X'!AO33=0,"",'[1]Spreads VM-V Table X'!AO33)</f>
        <v/>
      </c>
      <c r="AD33" s="44" t="str">
        <f>IF('[1]Spreads VM-V Table X'!AP33=0,"",'[1]Spreads VM-V Table X'!AP33)</f>
        <v/>
      </c>
      <c r="AE33" s="44" t="str">
        <f>IF('[1]Spreads VM-V Table X'!AQ33=0,"",'[1]Spreads VM-V Table X'!AQ33)</f>
        <v/>
      </c>
      <c r="AF33" s="44" t="str">
        <f>IF('[1]Spreads VM-V Table X'!AR33=0,"",'[1]Spreads VM-V Table X'!AR33)</f>
        <v/>
      </c>
      <c r="AG33" s="44" t="str">
        <f>IF('[1]Spreads VM-V Table X'!AS33=0,"",'[1]Spreads VM-V Table X'!AS33)</f>
        <v/>
      </c>
      <c r="AH33" s="44" t="str">
        <f>IF('[1]Spreads VM-V Table X'!AT33=0,"",'[1]Spreads VM-V Table X'!AT33)</f>
        <v/>
      </c>
      <c r="AI33" s="44" t="str">
        <f>IF('[1]Spreads VM-V Table X'!AU33=0,"",'[1]Spreads VM-V Table X'!AU33)</f>
        <v/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2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>
        <f>IF('[1]Spreads VM-V Table X'!Z34=0,"",'[1]Spreads VM-V Table X'!Z34)</f>
        <v>58.13</v>
      </c>
      <c r="O34" s="44">
        <f>IF('[1]Spreads VM-V Table X'!AA34=0,"",'[1]Spreads VM-V Table X'!AA34)</f>
        <v>68.52</v>
      </c>
      <c r="P34" s="44">
        <f>IF('[1]Spreads VM-V Table X'!AB34=0,"",'[1]Spreads VM-V Table X'!AB34)</f>
        <v>78.91</v>
      </c>
      <c r="Q34" s="44">
        <f>IF('[1]Spreads VM-V Table X'!AC34=0,"",'[1]Spreads VM-V Table X'!AC34)</f>
        <v>80.760000000000005</v>
      </c>
      <c r="R34" s="44">
        <f>IF('[1]Spreads VM-V Table X'!AD34=0,"",'[1]Spreads VM-V Table X'!AD34)</f>
        <v>82.6</v>
      </c>
      <c r="S34" s="44">
        <f>IF('[1]Spreads VM-V Table X'!AE34=0,"",'[1]Spreads VM-V Table X'!AE34)</f>
        <v>84.44</v>
      </c>
      <c r="T34" s="44">
        <f>IF('[1]Spreads VM-V Table X'!AF34=0,"",'[1]Spreads VM-V Table X'!AF34)</f>
        <v>99.85</v>
      </c>
      <c r="U34" s="44">
        <f>IF('[1]Spreads VM-V Table X'!AG34=0,"",'[1]Spreads VM-V Table X'!AG34)</f>
        <v>115.25</v>
      </c>
      <c r="V34" s="44">
        <f>IF('[1]Spreads VM-V Table X'!AH34=0,"",'[1]Spreads VM-V Table X'!AH34)</f>
        <v>130.65</v>
      </c>
      <c r="W34" s="44">
        <f>IF('[1]Spreads VM-V Table X'!AI34=0,"",'[1]Spreads VM-V Table X'!AI34)</f>
        <v>135.9</v>
      </c>
      <c r="Y34" s="42">
        <v>29</v>
      </c>
      <c r="Z34" s="44" t="str">
        <f>IF('[1]Spreads VM-V Table X'!AL34=0,"",'[1]Spreads VM-V Table X'!AL34)</f>
        <v/>
      </c>
      <c r="AA34" s="44" t="str">
        <f>IF('[1]Spreads VM-V Table X'!AM34=0,"",'[1]Spreads VM-V Table X'!AM34)</f>
        <v/>
      </c>
      <c r="AB34" s="44" t="str">
        <f>IF('[1]Spreads VM-V Table X'!AN34=0,"",'[1]Spreads VM-V Table X'!AN34)</f>
        <v/>
      </c>
      <c r="AC34" s="44" t="str">
        <f>IF('[1]Spreads VM-V Table X'!AO34=0,"",'[1]Spreads VM-V Table X'!AO34)</f>
        <v/>
      </c>
      <c r="AD34" s="44" t="str">
        <f>IF('[1]Spreads VM-V Table X'!AP34=0,"",'[1]Spreads VM-V Table X'!AP34)</f>
        <v/>
      </c>
      <c r="AE34" s="44" t="str">
        <f>IF('[1]Spreads VM-V Table X'!AQ34=0,"",'[1]Spreads VM-V Table X'!AQ34)</f>
        <v/>
      </c>
      <c r="AF34" s="44" t="str">
        <f>IF('[1]Spreads VM-V Table X'!AR34=0,"",'[1]Spreads VM-V Table X'!AR34)</f>
        <v/>
      </c>
      <c r="AG34" s="44" t="str">
        <f>IF('[1]Spreads VM-V Table X'!AS34=0,"",'[1]Spreads VM-V Table X'!AS34)</f>
        <v/>
      </c>
      <c r="AH34" s="44" t="str">
        <f>IF('[1]Spreads VM-V Table X'!AT34=0,"",'[1]Spreads VM-V Table X'!AT34)</f>
        <v/>
      </c>
      <c r="AI34" s="44" t="str">
        <f>IF('[1]Spreads VM-V Table X'!AU34=0,"",'[1]Spreads VM-V Table X'!AU34)</f>
        <v/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2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>
        <f>IF('[1]Spreads VM-V Table X'!Z35=0,"",'[1]Spreads VM-V Table X'!Z35)</f>
        <v>59.79</v>
      </c>
      <c r="O35" s="44">
        <f>IF('[1]Spreads VM-V Table X'!AA35=0,"",'[1]Spreads VM-V Table X'!AA35)</f>
        <v>69.91</v>
      </c>
      <c r="P35" s="44">
        <f>IF('[1]Spreads VM-V Table X'!AB35=0,"",'[1]Spreads VM-V Table X'!AB35)</f>
        <v>80.03</v>
      </c>
      <c r="Q35" s="44">
        <f>IF('[1]Spreads VM-V Table X'!AC35=0,"",'[1]Spreads VM-V Table X'!AC35)</f>
        <v>81.56</v>
      </c>
      <c r="R35" s="44">
        <f>IF('[1]Spreads VM-V Table X'!AD35=0,"",'[1]Spreads VM-V Table X'!AD35)</f>
        <v>83.1</v>
      </c>
      <c r="S35" s="44">
        <f>IF('[1]Spreads VM-V Table X'!AE35=0,"",'[1]Spreads VM-V Table X'!AE35)</f>
        <v>84.64</v>
      </c>
      <c r="T35" s="44">
        <f>IF('[1]Spreads VM-V Table X'!AF35=0,"",'[1]Spreads VM-V Table X'!AF35)</f>
        <v>100.27</v>
      </c>
      <c r="U35" s="44">
        <f>IF('[1]Spreads VM-V Table X'!AG35=0,"",'[1]Spreads VM-V Table X'!AG35)</f>
        <v>115.9</v>
      </c>
      <c r="V35" s="44">
        <f>IF('[1]Spreads VM-V Table X'!AH35=0,"",'[1]Spreads VM-V Table X'!AH35)</f>
        <v>131.53</v>
      </c>
      <c r="W35" s="44">
        <f>IF('[1]Spreads VM-V Table X'!AI35=0,"",'[1]Spreads VM-V Table X'!AI35)</f>
        <v>136.33000000000001</v>
      </c>
      <c r="Y35" s="42">
        <v>30</v>
      </c>
      <c r="Z35" s="44" t="str">
        <f>IF('[1]Spreads VM-V Table X'!AL35=0,"",'[1]Spreads VM-V Table X'!AL35)</f>
        <v/>
      </c>
      <c r="AA35" s="44" t="str">
        <f>IF('[1]Spreads VM-V Table X'!AM35=0,"",'[1]Spreads VM-V Table X'!AM35)</f>
        <v/>
      </c>
      <c r="AB35" s="44" t="str">
        <f>IF('[1]Spreads VM-V Table X'!AN35=0,"",'[1]Spreads VM-V Table X'!AN35)</f>
        <v/>
      </c>
      <c r="AC35" s="44" t="str">
        <f>IF('[1]Spreads VM-V Table X'!AO35=0,"",'[1]Spreads VM-V Table X'!AO35)</f>
        <v/>
      </c>
      <c r="AD35" s="44" t="str">
        <f>IF('[1]Spreads VM-V Table X'!AP35=0,"",'[1]Spreads VM-V Table X'!AP35)</f>
        <v/>
      </c>
      <c r="AE35" s="44" t="str">
        <f>IF('[1]Spreads VM-V Table X'!AQ35=0,"",'[1]Spreads VM-V Table X'!AQ35)</f>
        <v/>
      </c>
      <c r="AF35" s="44" t="str">
        <f>IF('[1]Spreads VM-V Table X'!AR35=0,"",'[1]Spreads VM-V Table X'!AR35)</f>
        <v/>
      </c>
      <c r="AG35" s="44" t="str">
        <f>IF('[1]Spreads VM-V Table X'!AS35=0,"",'[1]Spreads VM-V Table X'!AS35)</f>
        <v/>
      </c>
      <c r="AH35" s="44" t="str">
        <f>IF('[1]Spreads VM-V Table X'!AT35=0,"",'[1]Spreads VM-V Table X'!AT35)</f>
        <v/>
      </c>
      <c r="AI35" s="44" t="str">
        <f>IF('[1]Spreads VM-V Table X'!AU35=0,"",'[1]Spreads VM-V Table X'!AU35)</f>
        <v/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2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>
        <f>IF('[1]Spreads VM-V Table X'!Z36=0,"",'[1]Spreads VM-V Table X'!Z36)</f>
        <v>36.56166666666666</v>
      </c>
      <c r="O36" s="44">
        <f>IF('[1]Spreads VM-V Table X'!AA36=0,"",'[1]Spreads VM-V Table X'!AA36)</f>
        <v>48.642333333333326</v>
      </c>
      <c r="P36" s="44">
        <f>IF('[1]Spreads VM-V Table X'!AB36=0,"",'[1]Spreads VM-V Table X'!AB36)</f>
        <v>60.723666666666666</v>
      </c>
      <c r="Q36" s="44">
        <f>IF('[1]Spreads VM-V Table X'!AC36=0,"",'[1]Spreads VM-V Table X'!AC36)</f>
        <v>66.085666666666668</v>
      </c>
      <c r="R36" s="44">
        <f>IF('[1]Spreads VM-V Table X'!AD36=0,"",'[1]Spreads VM-V Table X'!AD36)</f>
        <v>71.44699999999996</v>
      </c>
      <c r="S36" s="44">
        <f>IF('[1]Spreads VM-V Table X'!AE36=0,"",'[1]Spreads VM-V Table X'!AE36)</f>
        <v>76.809666666666672</v>
      </c>
      <c r="T36" s="44">
        <f>IF('[1]Spreads VM-V Table X'!AF36=0,"",'[1]Spreads VM-V Table X'!AF36)</f>
        <v>89.192666666666668</v>
      </c>
      <c r="U36" s="44">
        <f>IF('[1]Spreads VM-V Table X'!AG36=0,"",'[1]Spreads VM-V Table X'!AG36)</f>
        <v>101.57433333333333</v>
      </c>
      <c r="V36" s="44">
        <f>IF('[1]Spreads VM-V Table X'!AH36=0,"",'[1]Spreads VM-V Table X'!AH36)</f>
        <v>113.95666666666668</v>
      </c>
      <c r="W36" s="44">
        <f>IF('[1]Spreads VM-V Table X'!AI36=0,"",'[1]Spreads VM-V Table X'!AI36)</f>
        <v>127.54666666666667</v>
      </c>
      <c r="Y36" s="42" t="s">
        <v>36</v>
      </c>
      <c r="Z36" s="44" t="str">
        <f>IF('[1]Spreads VM-V Table X'!AL36=0,"",'[1]Spreads VM-V Table X'!AL36)</f>
        <v/>
      </c>
      <c r="AA36" s="44" t="str">
        <f>IF('[1]Spreads VM-V Table X'!AM36=0,"",'[1]Spreads VM-V Table X'!AM36)</f>
        <v/>
      </c>
      <c r="AB36" s="44" t="str">
        <f>IF('[1]Spreads VM-V Table X'!AN36=0,"",'[1]Spreads VM-V Table X'!AN36)</f>
        <v/>
      </c>
      <c r="AC36" s="44" t="str">
        <f>IF('[1]Spreads VM-V Table X'!AO36=0,"",'[1]Spreads VM-V Table X'!AO36)</f>
        <v/>
      </c>
      <c r="AD36" s="44" t="str">
        <f>IF('[1]Spreads VM-V Table X'!AP36=0,"",'[1]Spreads VM-V Table X'!AP36)</f>
        <v/>
      </c>
      <c r="AE36" s="44" t="str">
        <f>IF('[1]Spreads VM-V Table X'!AQ36=0,"",'[1]Spreads VM-V Table X'!AQ36)</f>
        <v/>
      </c>
      <c r="AF36" s="44" t="str">
        <f>IF('[1]Spreads VM-V Table X'!AR36=0,"",'[1]Spreads VM-V Table X'!AR36)</f>
        <v/>
      </c>
      <c r="AG36" s="44" t="str">
        <f>IF('[1]Spreads VM-V Table X'!AS36=0,"",'[1]Spreads VM-V Table X'!AS36)</f>
        <v/>
      </c>
      <c r="AH36" s="44" t="str">
        <f>IF('[1]Spreads VM-V Table X'!AT36=0,"",'[1]Spreads VM-V Table X'!AT36)</f>
        <v/>
      </c>
      <c r="AI36" s="44" t="str">
        <f>IF('[1]Spreads VM-V Table X'!AU36=0,"",'[1]Spreads VM-V Table X'!AU36)</f>
        <v/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K1:AU1"/>
    <mergeCell ref="AK2:AU2"/>
    <mergeCell ref="AL3:AU3"/>
    <mergeCell ref="Y1:AI1"/>
    <mergeCell ref="Y2:AI2"/>
    <mergeCell ref="Z3:AI3"/>
    <mergeCell ref="A2:K2"/>
    <mergeCell ref="B3:K3"/>
    <mergeCell ref="A1:K1"/>
    <mergeCell ref="M1:W1"/>
    <mergeCell ref="M2:W2"/>
    <mergeCell ref="N3:W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5" x14ac:dyDescent="0.2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333375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Stinson, Jim</cp:lastModifiedBy>
  <cp:lastPrinted>2024-02-15T20:01:27Z</cp:lastPrinted>
  <dcterms:created xsi:type="dcterms:W3CDTF">2017-10-17T19:32:15Z</dcterms:created>
  <dcterms:modified xsi:type="dcterms:W3CDTF">2026-05-19T16:08:41Z</dcterms:modified>
</cp:coreProperties>
</file>