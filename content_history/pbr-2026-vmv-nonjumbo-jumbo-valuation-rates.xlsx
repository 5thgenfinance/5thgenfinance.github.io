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AF07A608-A006-44A5-8A0E-F1BF81215F16}" xr6:coauthVersionLast="47" xr6:coauthVersionMax="47" xr10:uidLastSave="{00000000-0000-0000-0000-000000000000}"/>
  <bookViews>
    <workbookView xWindow="1170" yWindow="1845" windowWidth="21600" windowHeight="11295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<sst xmlns="http://schemas.openxmlformats.org/spreadsheetml/2006/main" count="122" uniqueCount="43">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</sst>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333375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able%20Calculations/VM-V%202026%20Valuation%20Rate%20Calc.xlsm" TargetMode="External"/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  <cell r="Z6">
            <v>11.56</v>
          </cell>
          <cell r="AA6">
            <v>18.23</v>
          </cell>
          <cell r="AB6">
            <v>24.9</v>
          </cell>
          <cell r="AC6">
            <v>30.77</v>
          </cell>
          <cell r="AD6">
            <v>36.630000000000003</v>
          </cell>
          <cell r="AE6">
            <v>42.5</v>
          </cell>
          <cell r="AF6">
            <v>50.1</v>
          </cell>
          <cell r="AG6">
            <v>57.71</v>
          </cell>
          <cell r="AH6">
            <v>65.319999999999993</v>
          </cell>
          <cell r="AI6">
            <v>103.23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  <cell r="Z7">
            <v>14.38</v>
          </cell>
          <cell r="AA7">
            <v>22.17</v>
          </cell>
          <cell r="AB7">
            <v>29.96</v>
          </cell>
          <cell r="AC7">
            <v>36.04</v>
          </cell>
          <cell r="AD7">
            <v>42.12</v>
          </cell>
          <cell r="AE7">
            <v>48.2</v>
          </cell>
          <cell r="AF7">
            <v>56.92</v>
          </cell>
          <cell r="AG7">
            <v>65.63</v>
          </cell>
          <cell r="AH7">
            <v>74.34</v>
          </cell>
          <cell r="AI7">
            <v>107.74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  <cell r="Z8">
            <v>17.2</v>
          </cell>
          <cell r="AA8">
            <v>26.11</v>
          </cell>
          <cell r="AB8">
            <v>35.01</v>
          </cell>
          <cell r="AC8">
            <v>41.31</v>
          </cell>
          <cell r="AD8">
            <v>47.61</v>
          </cell>
          <cell r="AE8">
            <v>53.91</v>
          </cell>
          <cell r="AF8">
            <v>63.73</v>
          </cell>
          <cell r="AG8">
            <v>73.55</v>
          </cell>
          <cell r="AH8">
            <v>83.37</v>
          </cell>
          <cell r="AI8">
            <v>112.25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  <cell r="Z9">
            <v>20.03</v>
          </cell>
          <cell r="AA9">
            <v>30.05</v>
          </cell>
          <cell r="AB9">
            <v>40.07</v>
          </cell>
          <cell r="AC9">
            <v>46.59</v>
          </cell>
          <cell r="AD9">
            <v>53.1</v>
          </cell>
          <cell r="AE9">
            <v>59.62</v>
          </cell>
          <cell r="AF9">
            <v>70.540000000000006</v>
          </cell>
          <cell r="AG9">
            <v>81.47</v>
          </cell>
          <cell r="AH9">
            <v>92.39</v>
          </cell>
          <cell r="AI9">
            <v>116.76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  <cell r="Z10">
            <v>23.33</v>
          </cell>
          <cell r="AA10">
            <v>32.96</v>
          </cell>
          <cell r="AB10">
            <v>42.6</v>
          </cell>
          <cell r="AC10">
            <v>49.79</v>
          </cell>
          <cell r="AD10">
            <v>56.97</v>
          </cell>
          <cell r="AE10">
            <v>64.16</v>
          </cell>
          <cell r="AF10">
            <v>75.06</v>
          </cell>
          <cell r="AG10">
            <v>85.96</v>
          </cell>
          <cell r="AH10">
            <v>96.85</v>
          </cell>
          <cell r="AI10">
            <v>118.99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  <cell r="Z11">
            <v>26.63</v>
          </cell>
          <cell r="AA11">
            <v>35.880000000000003</v>
          </cell>
          <cell r="AB11">
            <v>45.13</v>
          </cell>
          <cell r="AC11">
            <v>52.99</v>
          </cell>
          <cell r="AD11">
            <v>60.84</v>
          </cell>
          <cell r="AE11">
            <v>68.7</v>
          </cell>
          <cell r="AF11">
            <v>79.569999999999993</v>
          </cell>
          <cell r="AG11">
            <v>90.44</v>
          </cell>
          <cell r="AH11">
            <v>101.32</v>
          </cell>
          <cell r="AI11">
            <v>121.23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  <cell r="Z12">
            <v>26.07</v>
          </cell>
          <cell r="AA12">
            <v>37.5</v>
          </cell>
          <cell r="AB12">
            <v>48.94</v>
          </cell>
          <cell r="AC12">
            <v>56.85</v>
          </cell>
          <cell r="AD12">
            <v>64.760000000000005</v>
          </cell>
          <cell r="AE12">
            <v>72.67</v>
          </cell>
          <cell r="AF12">
            <v>83.53</v>
          </cell>
          <cell r="AG12">
            <v>94.38</v>
          </cell>
          <cell r="AH12">
            <v>105.24</v>
          </cell>
          <cell r="AI12">
            <v>123.19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  <cell r="Z13">
            <v>25.51</v>
          </cell>
          <cell r="AA13">
            <v>39.130000000000003</v>
          </cell>
          <cell r="AB13">
            <v>52.74</v>
          </cell>
          <cell r="AC13">
            <v>60.71</v>
          </cell>
          <cell r="AD13">
            <v>68.680000000000007</v>
          </cell>
          <cell r="AE13">
            <v>76.650000000000006</v>
          </cell>
          <cell r="AF13">
            <v>87.49</v>
          </cell>
          <cell r="AG13">
            <v>98.32</v>
          </cell>
          <cell r="AH13">
            <v>109.16</v>
          </cell>
          <cell r="AI13">
            <v>125.15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  <cell r="Z14">
            <v>24.95</v>
          </cell>
          <cell r="AA14">
            <v>40.75</v>
          </cell>
          <cell r="AB14">
            <v>56.55</v>
          </cell>
          <cell r="AC14">
            <v>64.569999999999993</v>
          </cell>
          <cell r="AD14">
            <v>72.599999999999994</v>
          </cell>
          <cell r="AE14">
            <v>80.63</v>
          </cell>
          <cell r="AF14">
            <v>91.44</v>
          </cell>
          <cell r="AG14">
            <v>102.26</v>
          </cell>
          <cell r="AH14">
            <v>113.08</v>
          </cell>
          <cell r="AI14">
            <v>127.11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  <cell r="Z15">
            <v>26.61</v>
          </cell>
          <cell r="AA15">
            <v>42.14</v>
          </cell>
          <cell r="AB15">
            <v>57.67</v>
          </cell>
          <cell r="AC15">
            <v>65.38</v>
          </cell>
          <cell r="AD15">
            <v>73.099999999999994</v>
          </cell>
          <cell r="AE15">
            <v>80.819999999999993</v>
          </cell>
          <cell r="AF15">
            <v>91.86</v>
          </cell>
          <cell r="AG15">
            <v>102.91</v>
          </cell>
          <cell r="AH15">
            <v>113.96</v>
          </cell>
          <cell r="AI15">
            <v>127.55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  <cell r="Z16">
            <v>28.27</v>
          </cell>
          <cell r="AA16">
            <v>43.53</v>
          </cell>
          <cell r="AB16">
            <v>58.78</v>
          </cell>
          <cell r="AC16">
            <v>66.19</v>
          </cell>
          <cell r="AD16">
            <v>73.599999999999994</v>
          </cell>
          <cell r="AE16">
            <v>81.010000000000005</v>
          </cell>
          <cell r="AF16">
            <v>92.28</v>
          </cell>
          <cell r="AG16">
            <v>103.56</v>
          </cell>
          <cell r="AH16">
            <v>114.83</v>
          </cell>
          <cell r="AI16">
            <v>127.99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  <cell r="Z17">
            <v>29.93</v>
          </cell>
          <cell r="AA17">
            <v>44.91</v>
          </cell>
          <cell r="AB17">
            <v>59.9</v>
          </cell>
          <cell r="AC17">
            <v>67</v>
          </cell>
          <cell r="AD17">
            <v>74.099999999999994</v>
          </cell>
          <cell r="AE17">
            <v>81.2</v>
          </cell>
          <cell r="AF17">
            <v>92.7</v>
          </cell>
          <cell r="AG17">
            <v>104.21</v>
          </cell>
          <cell r="AH17">
            <v>115.71</v>
          </cell>
          <cell r="AI17">
            <v>128.41999999999999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  <cell r="Z18">
            <v>31.58</v>
          </cell>
          <cell r="AA18">
            <v>46.3</v>
          </cell>
          <cell r="AB18">
            <v>61.02</v>
          </cell>
          <cell r="AC18">
            <v>67.81</v>
          </cell>
          <cell r="AD18">
            <v>74.599999999999994</v>
          </cell>
          <cell r="AE18">
            <v>81.39</v>
          </cell>
          <cell r="AF18">
            <v>93.12</v>
          </cell>
          <cell r="AG18">
            <v>104.86</v>
          </cell>
          <cell r="AH18">
            <v>116.59</v>
          </cell>
          <cell r="AI18">
            <v>128.86000000000001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  <cell r="Z19">
            <v>33.24</v>
          </cell>
          <cell r="AA19">
            <v>47.69</v>
          </cell>
          <cell r="AB19">
            <v>62.14</v>
          </cell>
          <cell r="AC19">
            <v>68.62</v>
          </cell>
          <cell r="AD19">
            <v>75.099999999999994</v>
          </cell>
          <cell r="AE19">
            <v>81.58</v>
          </cell>
          <cell r="AF19">
            <v>93.54</v>
          </cell>
          <cell r="AG19">
            <v>105.51</v>
          </cell>
          <cell r="AH19">
            <v>117.47</v>
          </cell>
          <cell r="AI19">
            <v>129.30000000000001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  <cell r="Z20">
            <v>34.9</v>
          </cell>
          <cell r="AA20">
            <v>49.08</v>
          </cell>
          <cell r="AB20">
            <v>63.26</v>
          </cell>
          <cell r="AC20">
            <v>69.430000000000007</v>
          </cell>
          <cell r="AD20">
            <v>75.599999999999994</v>
          </cell>
          <cell r="AE20">
            <v>81.77</v>
          </cell>
          <cell r="AF20">
            <v>93.96</v>
          </cell>
          <cell r="AG20">
            <v>106.16</v>
          </cell>
          <cell r="AH20">
            <v>118.35</v>
          </cell>
          <cell r="AI20">
            <v>129.74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  <cell r="Z21">
            <v>36.56</v>
          </cell>
          <cell r="AA21">
            <v>50.47</v>
          </cell>
          <cell r="AB21">
            <v>64.38</v>
          </cell>
          <cell r="AC21">
            <v>70.239999999999995</v>
          </cell>
          <cell r="AD21">
            <v>76.099999999999994</v>
          </cell>
          <cell r="AE21">
            <v>81.96</v>
          </cell>
          <cell r="AF21">
            <v>94.38</v>
          </cell>
          <cell r="AG21">
            <v>106.81</v>
          </cell>
          <cell r="AH21">
            <v>119.23</v>
          </cell>
          <cell r="AI21">
            <v>130.18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  <cell r="Z22">
            <v>38.22</v>
          </cell>
          <cell r="AA22">
            <v>51.86</v>
          </cell>
          <cell r="AB22">
            <v>65.489999999999995</v>
          </cell>
          <cell r="AC22">
            <v>71.05</v>
          </cell>
          <cell r="AD22">
            <v>76.599999999999994</v>
          </cell>
          <cell r="AE22">
            <v>82.15</v>
          </cell>
          <cell r="AF22">
            <v>94.81</v>
          </cell>
          <cell r="AG22">
            <v>107.46</v>
          </cell>
          <cell r="AH22">
            <v>120.11</v>
          </cell>
          <cell r="AI22">
            <v>130.62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  <cell r="Z23">
            <v>39.880000000000003</v>
          </cell>
          <cell r="AA23">
            <v>53.25</v>
          </cell>
          <cell r="AB23">
            <v>66.61</v>
          </cell>
          <cell r="AC23">
            <v>71.86</v>
          </cell>
          <cell r="AD23">
            <v>77.099999999999994</v>
          </cell>
          <cell r="AE23">
            <v>82.34</v>
          </cell>
          <cell r="AF23">
            <v>95.23</v>
          </cell>
          <cell r="AG23">
            <v>108.11</v>
          </cell>
          <cell r="AH23">
            <v>120.99</v>
          </cell>
          <cell r="AI23">
            <v>131.06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  <cell r="Z24">
            <v>41.54</v>
          </cell>
          <cell r="AA24">
            <v>54.63</v>
          </cell>
          <cell r="AB24">
            <v>67.73</v>
          </cell>
          <cell r="AC24">
            <v>72.66</v>
          </cell>
          <cell r="AD24">
            <v>77.599999999999994</v>
          </cell>
          <cell r="AE24">
            <v>82.54</v>
          </cell>
          <cell r="AF24">
            <v>95.65</v>
          </cell>
          <cell r="AG24">
            <v>108.76</v>
          </cell>
          <cell r="AH24">
            <v>121.87</v>
          </cell>
          <cell r="AI24">
            <v>131.5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  <cell r="Z25">
            <v>43.2</v>
          </cell>
          <cell r="AA25">
            <v>56.02</v>
          </cell>
          <cell r="AB25">
            <v>68.849999999999994</v>
          </cell>
          <cell r="AC25">
            <v>73.47</v>
          </cell>
          <cell r="AD25">
            <v>78.099999999999994</v>
          </cell>
          <cell r="AE25">
            <v>82.73</v>
          </cell>
          <cell r="AF25">
            <v>96.07</v>
          </cell>
          <cell r="AG25">
            <v>109.41</v>
          </cell>
          <cell r="AH25">
            <v>122.74</v>
          </cell>
          <cell r="AI25">
            <v>131.94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  <cell r="Z26">
            <v>44.86</v>
          </cell>
          <cell r="AA26">
            <v>57.41</v>
          </cell>
          <cell r="AB26">
            <v>69.97</v>
          </cell>
          <cell r="AC26">
            <v>74.28</v>
          </cell>
          <cell r="AD26">
            <v>78.599999999999994</v>
          </cell>
          <cell r="AE26">
            <v>82.92</v>
          </cell>
          <cell r="AF26">
            <v>96.49</v>
          </cell>
          <cell r="AG26">
            <v>110.05</v>
          </cell>
          <cell r="AH26">
            <v>123.62</v>
          </cell>
          <cell r="AI26">
            <v>132.38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  <cell r="Z27">
            <v>46.52</v>
          </cell>
          <cell r="AA27">
            <v>58.8</v>
          </cell>
          <cell r="AB27">
            <v>71.08</v>
          </cell>
          <cell r="AC27">
            <v>75.09</v>
          </cell>
          <cell r="AD27">
            <v>79.099999999999994</v>
          </cell>
          <cell r="AE27">
            <v>83.11</v>
          </cell>
          <cell r="AF27">
            <v>96.91</v>
          </cell>
          <cell r="AG27">
            <v>110.7</v>
          </cell>
          <cell r="AH27">
            <v>124.5</v>
          </cell>
          <cell r="AI27">
            <v>132.82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  <cell r="Z28">
            <v>48.18</v>
          </cell>
          <cell r="AA28">
            <v>60.19</v>
          </cell>
          <cell r="AB28">
            <v>72.2</v>
          </cell>
          <cell r="AC28">
            <v>75.900000000000006</v>
          </cell>
          <cell r="AD28">
            <v>79.599999999999994</v>
          </cell>
          <cell r="AE28">
            <v>83.3</v>
          </cell>
          <cell r="AF28">
            <v>97.33</v>
          </cell>
          <cell r="AG28">
            <v>111.35</v>
          </cell>
          <cell r="AH28">
            <v>125.38</v>
          </cell>
          <cell r="AI28">
            <v>133.26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  <cell r="Z29">
            <v>49.84</v>
          </cell>
          <cell r="AA29">
            <v>61.58</v>
          </cell>
          <cell r="AB29">
            <v>73.319999999999993</v>
          </cell>
          <cell r="AC29">
            <v>76.709999999999994</v>
          </cell>
          <cell r="AD29">
            <v>80.099999999999994</v>
          </cell>
          <cell r="AE29">
            <v>83.49</v>
          </cell>
          <cell r="AF29">
            <v>97.75</v>
          </cell>
          <cell r="AG29">
            <v>112</v>
          </cell>
          <cell r="AH29">
            <v>126.26</v>
          </cell>
          <cell r="AI29">
            <v>133.69999999999999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  <cell r="Z30">
            <v>51.5</v>
          </cell>
          <cell r="AA30">
            <v>62.97</v>
          </cell>
          <cell r="AB30">
            <v>74.44</v>
          </cell>
          <cell r="AC30">
            <v>77.52</v>
          </cell>
          <cell r="AD30">
            <v>80.599999999999994</v>
          </cell>
          <cell r="AE30">
            <v>83.68</v>
          </cell>
          <cell r="AF30">
            <v>98.17</v>
          </cell>
          <cell r="AG30">
            <v>112.65</v>
          </cell>
          <cell r="AH30">
            <v>127.14</v>
          </cell>
          <cell r="AI30">
            <v>134.13999999999999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  <cell r="Z31">
            <v>53.16</v>
          </cell>
          <cell r="AA31">
            <v>64.36</v>
          </cell>
          <cell r="AB31">
            <v>75.56</v>
          </cell>
          <cell r="AC31">
            <v>78.33</v>
          </cell>
          <cell r="AD31">
            <v>81.099999999999994</v>
          </cell>
          <cell r="AE31">
            <v>83.87</v>
          </cell>
          <cell r="AF31">
            <v>98.59</v>
          </cell>
          <cell r="AG31">
            <v>113.3</v>
          </cell>
          <cell r="AH31">
            <v>128.02000000000001</v>
          </cell>
          <cell r="AI31">
            <v>134.58000000000001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  <cell r="Z32">
            <v>54.81</v>
          </cell>
          <cell r="AA32">
            <v>65.739999999999995</v>
          </cell>
          <cell r="AB32">
            <v>76.680000000000007</v>
          </cell>
          <cell r="AC32">
            <v>79.14</v>
          </cell>
          <cell r="AD32">
            <v>81.599999999999994</v>
          </cell>
          <cell r="AE32">
            <v>84.06</v>
          </cell>
          <cell r="AF32">
            <v>99.01</v>
          </cell>
          <cell r="AG32">
            <v>113.95</v>
          </cell>
          <cell r="AH32">
            <v>128.9</v>
          </cell>
          <cell r="AI32">
            <v>135.02000000000001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  <cell r="Z33">
            <v>56.47</v>
          </cell>
          <cell r="AA33">
            <v>67.13</v>
          </cell>
          <cell r="AB33">
            <v>77.790000000000006</v>
          </cell>
          <cell r="AC33">
            <v>79.95</v>
          </cell>
          <cell r="AD33">
            <v>82.1</v>
          </cell>
          <cell r="AE33">
            <v>84.25</v>
          </cell>
          <cell r="AF33">
            <v>99.43</v>
          </cell>
          <cell r="AG33">
            <v>114.6</v>
          </cell>
          <cell r="AH33">
            <v>129.78</v>
          </cell>
          <cell r="AI33">
            <v>135.46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  <cell r="Z34">
            <v>58.13</v>
          </cell>
          <cell r="AA34">
            <v>68.52</v>
          </cell>
          <cell r="AB34">
            <v>78.91</v>
          </cell>
          <cell r="AC34">
            <v>80.760000000000005</v>
          </cell>
          <cell r="AD34">
            <v>82.6</v>
          </cell>
          <cell r="AE34">
            <v>84.44</v>
          </cell>
          <cell r="AF34">
            <v>99.85</v>
          </cell>
          <cell r="AG34">
            <v>115.25</v>
          </cell>
          <cell r="AH34">
            <v>130.65</v>
          </cell>
          <cell r="AI34">
            <v>135.9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  <cell r="Z35">
            <v>59.79</v>
          </cell>
          <cell r="AA35">
            <v>69.91</v>
          </cell>
          <cell r="AB35">
            <v>80.03</v>
          </cell>
          <cell r="AC35">
            <v>81.56</v>
          </cell>
          <cell r="AD35">
            <v>83.1</v>
          </cell>
          <cell r="AE35">
            <v>84.64</v>
          </cell>
          <cell r="AF35">
            <v>100.27</v>
          </cell>
          <cell r="AG35">
            <v>115.9</v>
          </cell>
          <cell r="AH35">
            <v>131.53</v>
          </cell>
          <cell r="AI35">
            <v>136.33000000000001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  <cell r="Z36">
            <v>36.56166666666666</v>
          </cell>
          <cell r="AA36">
            <v>48.642333333333326</v>
          </cell>
          <cell r="AB36">
            <v>60.723666666666666</v>
          </cell>
          <cell r="AC36">
            <v>66.085666666666668</v>
          </cell>
          <cell r="AD36">
            <v>71.44699999999996</v>
          </cell>
          <cell r="AE36">
            <v>76.809666666666672</v>
          </cell>
          <cell r="AF36">
            <v>89.192666666666668</v>
          </cell>
          <cell r="AG36">
            <v>101.57433333333333</v>
          </cell>
          <cell r="AH36">
            <v>113.95666666666668</v>
          </cell>
          <cell r="AI36">
            <v>127.54666666666667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>
            <v>4.2500000000000003E-2</v>
          </cell>
        </row>
        <row r="20">
          <cell r="D20">
            <v>4.4999999999999998E-2</v>
          </cell>
        </row>
        <row r="21">
          <cell r="D21">
            <v>0.05</v>
          </cell>
        </row>
        <row r="22">
          <cell r="D22">
            <v>5.2499999999999998E-2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>
            <v>3.8199999999999998E-2</v>
          </cell>
          <cell r="J63">
            <v>4.1700000000000001E-2</v>
          </cell>
          <cell r="K63">
            <v>4.4400000000000002E-2</v>
          </cell>
          <cell r="L63">
            <v>4.7300000000000002E-2</v>
          </cell>
        </row>
        <row r="64">
          <cell r="H64">
            <v>46082</v>
          </cell>
          <cell r="I64">
            <v>3.8199999999999998E-2</v>
          </cell>
          <cell r="J64">
            <v>4.1700000000000001E-2</v>
          </cell>
          <cell r="K64">
            <v>4.4400000000000002E-2</v>
          </cell>
          <cell r="L64">
            <v>4.7300000000000002E-2</v>
          </cell>
        </row>
        <row r="65">
          <cell r="H65">
            <v>46083</v>
          </cell>
          <cell r="I65">
            <v>3.8199999999999998E-2</v>
          </cell>
          <cell r="J65">
            <v>4.1700000000000001E-2</v>
          </cell>
          <cell r="K65">
            <v>4.4400000000000002E-2</v>
          </cell>
          <cell r="L65">
            <v>4.7300000000000002E-2</v>
          </cell>
        </row>
        <row r="66">
          <cell r="H66">
            <v>46084</v>
          </cell>
          <cell r="I66">
            <v>3.9300000000000002E-2</v>
          </cell>
          <cell r="J66">
            <v>4.2700000000000002E-2</v>
          </cell>
          <cell r="K66">
            <v>4.53E-2</v>
          </cell>
          <cell r="L66">
            <v>4.8099999999999997E-2</v>
          </cell>
        </row>
        <row r="67">
          <cell r="H67">
            <v>46085</v>
          </cell>
          <cell r="I67">
            <v>3.9399999999999998E-2</v>
          </cell>
          <cell r="J67">
            <v>4.2799999999999998E-2</v>
          </cell>
          <cell r="K67">
            <v>4.5400000000000003E-2</v>
          </cell>
          <cell r="L67">
            <v>4.82E-2</v>
          </cell>
        </row>
        <row r="68">
          <cell r="H68">
            <v>46086</v>
          </cell>
          <cell r="I68">
            <v>3.95E-2</v>
          </cell>
          <cell r="J68">
            <v>4.2799999999999998E-2</v>
          </cell>
          <cell r="K68">
            <v>4.5400000000000003E-2</v>
          </cell>
          <cell r="L68">
            <v>4.8099999999999997E-2</v>
          </cell>
        </row>
        <row r="69">
          <cell r="H69">
            <v>46087</v>
          </cell>
          <cell r="I69">
            <v>0.04</v>
          </cell>
          <cell r="J69">
            <v>4.3299999999999998E-2</v>
          </cell>
          <cell r="K69">
            <v>4.5900000000000003E-2</v>
          </cell>
          <cell r="L69">
            <v>4.8599999999999997E-2</v>
          </cell>
        </row>
        <row r="70">
          <cell r="H70">
            <v>46088</v>
          </cell>
          <cell r="I70">
            <v>4.02E-2</v>
          </cell>
          <cell r="J70">
            <v>4.36E-2</v>
          </cell>
          <cell r="K70">
            <v>4.6199999999999998E-2</v>
          </cell>
          <cell r="L70">
            <v>4.8899999999999999E-2</v>
          </cell>
        </row>
        <row r="71">
          <cell r="H71">
            <v>46089</v>
          </cell>
          <cell r="I71">
            <v>4.02E-2</v>
          </cell>
          <cell r="J71">
            <v>4.36E-2</v>
          </cell>
          <cell r="K71">
            <v>4.6199999999999998E-2</v>
          </cell>
          <cell r="L71">
            <v>4.8899999999999999E-2</v>
          </cell>
        </row>
        <row r="72">
          <cell r="H72">
            <v>46090</v>
          </cell>
          <cell r="I72">
            <v>4.02E-2</v>
          </cell>
          <cell r="J72">
            <v>4.36E-2</v>
          </cell>
          <cell r="K72">
            <v>4.6199999999999998E-2</v>
          </cell>
          <cell r="L72">
            <v>4.8899999999999999E-2</v>
          </cell>
        </row>
        <row r="73">
          <cell r="H73">
            <v>46091</v>
          </cell>
          <cell r="I73">
            <v>0.04</v>
          </cell>
          <cell r="J73">
            <v>4.3299999999999998E-2</v>
          </cell>
          <cell r="K73">
            <v>4.58E-2</v>
          </cell>
          <cell r="L73">
            <v>4.8500000000000001E-2</v>
          </cell>
        </row>
        <row r="74">
          <cell r="H74">
            <v>46092</v>
          </cell>
          <cell r="I74">
            <v>4.0300000000000002E-2</v>
          </cell>
          <cell r="J74">
            <v>4.3700000000000003E-2</v>
          </cell>
          <cell r="K74">
            <v>4.6300000000000001E-2</v>
          </cell>
          <cell r="L74">
            <v>4.9099999999999998E-2</v>
          </cell>
        </row>
        <row r="75">
          <cell r="H75">
            <v>46093</v>
          </cell>
          <cell r="I75">
            <v>4.1099999999999998E-2</v>
          </cell>
          <cell r="J75">
            <v>4.4600000000000001E-2</v>
          </cell>
          <cell r="K75">
            <v>4.7300000000000002E-2</v>
          </cell>
          <cell r="L75">
            <v>5.0099999999999999E-2</v>
          </cell>
        </row>
        <row r="76">
          <cell r="H76">
            <v>46094</v>
          </cell>
          <cell r="I76">
            <v>4.2200000000000001E-2</v>
          </cell>
          <cell r="J76">
            <v>4.5400000000000003E-2</v>
          </cell>
          <cell r="K76">
            <v>4.8000000000000001E-2</v>
          </cell>
          <cell r="L76">
            <v>5.0700000000000002E-2</v>
          </cell>
        </row>
        <row r="77">
          <cell r="H77">
            <v>46095</v>
          </cell>
          <cell r="I77">
            <v>4.2500000000000003E-2</v>
          </cell>
          <cell r="J77">
            <v>4.58E-2</v>
          </cell>
          <cell r="K77">
            <v>4.8399999999999999E-2</v>
          </cell>
          <cell r="L77">
            <v>5.11E-2</v>
          </cell>
        </row>
        <row r="78">
          <cell r="H78">
            <v>46096</v>
          </cell>
          <cell r="I78">
            <v>4.2500000000000003E-2</v>
          </cell>
          <cell r="J78">
            <v>4.58E-2</v>
          </cell>
          <cell r="K78">
            <v>4.8399999999999999E-2</v>
          </cell>
          <cell r="L78">
            <v>5.11E-2</v>
          </cell>
        </row>
        <row r="79">
          <cell r="H79">
            <v>46097</v>
          </cell>
          <cell r="I79">
            <v>4.2500000000000003E-2</v>
          </cell>
          <cell r="J79">
            <v>4.58E-2</v>
          </cell>
          <cell r="K79">
            <v>4.8399999999999999E-2</v>
          </cell>
          <cell r="L79">
            <v>5.11E-2</v>
          </cell>
        </row>
        <row r="80">
          <cell r="H80">
            <v>46098</v>
          </cell>
          <cell r="I80">
            <v>4.2000000000000003E-2</v>
          </cell>
          <cell r="J80">
            <v>4.5199999999999997E-2</v>
          </cell>
          <cell r="K80">
            <v>4.7800000000000002E-2</v>
          </cell>
          <cell r="L80">
            <v>5.0500000000000003E-2</v>
          </cell>
        </row>
        <row r="81">
          <cell r="H81">
            <v>46099</v>
          </cell>
          <cell r="I81">
            <v>4.1599999999999998E-2</v>
          </cell>
          <cell r="J81">
            <v>4.48E-2</v>
          </cell>
          <cell r="K81">
            <v>4.7399999999999998E-2</v>
          </cell>
          <cell r="L81">
            <v>0.05</v>
          </cell>
        </row>
        <row r="82">
          <cell r="H82">
            <v>46100</v>
          </cell>
          <cell r="I82">
            <v>4.2299999999999997E-2</v>
          </cell>
          <cell r="J82">
            <v>4.5400000000000003E-2</v>
          </cell>
          <cell r="K82">
            <v>4.7800000000000002E-2</v>
          </cell>
          <cell r="L82">
            <v>5.04E-2</v>
          </cell>
        </row>
        <row r="83">
          <cell r="H83">
            <v>46101</v>
          </cell>
          <cell r="I83">
            <v>4.24E-2</v>
          </cell>
          <cell r="J83">
            <v>4.5400000000000003E-2</v>
          </cell>
          <cell r="K83">
            <v>4.7699999999999999E-2</v>
          </cell>
          <cell r="L83">
            <v>5.0200000000000002E-2</v>
          </cell>
        </row>
        <row r="84">
          <cell r="H84">
            <v>46102</v>
          </cell>
          <cell r="I84">
            <v>4.3400000000000001E-2</v>
          </cell>
          <cell r="J84">
            <v>4.65E-2</v>
          </cell>
          <cell r="K84">
            <v>4.9000000000000002E-2</v>
          </cell>
          <cell r="L84">
            <v>5.1499999999999997E-2</v>
          </cell>
        </row>
        <row r="85">
          <cell r="H85">
            <v>46103</v>
          </cell>
          <cell r="I85">
            <v>4.3400000000000001E-2</v>
          </cell>
          <cell r="J85">
            <v>4.65E-2</v>
          </cell>
          <cell r="K85">
            <v>4.9000000000000002E-2</v>
          </cell>
          <cell r="L85">
            <v>5.1499999999999997E-2</v>
          </cell>
        </row>
        <row r="86">
          <cell r="H86">
            <v>46104</v>
          </cell>
          <cell r="I86">
            <v>4.3400000000000001E-2</v>
          </cell>
          <cell r="J86">
            <v>4.65E-2</v>
          </cell>
          <cell r="K86">
            <v>4.9000000000000002E-2</v>
          </cell>
          <cell r="L86">
            <v>5.1499999999999997E-2</v>
          </cell>
        </row>
        <row r="87">
          <cell r="H87">
            <v>46105</v>
          </cell>
          <cell r="I87">
            <v>4.2900000000000001E-2</v>
          </cell>
          <cell r="J87">
            <v>4.5999999999999999E-2</v>
          </cell>
          <cell r="K87">
            <v>4.8399999999999999E-2</v>
          </cell>
          <cell r="L87">
            <v>5.0900000000000001E-2</v>
          </cell>
        </row>
        <row r="88">
          <cell r="H88">
            <v>46106</v>
          </cell>
          <cell r="I88">
            <v>4.3299999999999998E-2</v>
          </cell>
          <cell r="J88">
            <v>4.6399999999999997E-2</v>
          </cell>
          <cell r="K88">
            <v>4.87E-2</v>
          </cell>
          <cell r="L88">
            <v>5.1200000000000002E-2</v>
          </cell>
        </row>
        <row r="89">
          <cell r="H89">
            <v>46107</v>
          </cell>
          <cell r="I89">
            <v>4.2799999999999998E-2</v>
          </cell>
          <cell r="J89">
            <v>4.5699999999999998E-2</v>
          </cell>
          <cell r="K89">
            <v>4.8099999999999997E-2</v>
          </cell>
          <cell r="L89">
            <v>5.0599999999999999E-2</v>
          </cell>
        </row>
        <row r="90">
          <cell r="H90">
            <v>46108</v>
          </cell>
          <cell r="I90">
            <v>4.3999999999999997E-2</v>
          </cell>
          <cell r="J90">
            <v>4.6899999999999997E-2</v>
          </cell>
          <cell r="K90">
            <v>4.9099999999999998E-2</v>
          </cell>
          <cell r="L90">
            <v>5.1499999999999997E-2</v>
          </cell>
        </row>
        <row r="91">
          <cell r="H91">
            <v>46109</v>
          </cell>
          <cell r="I91">
            <v>4.3999999999999997E-2</v>
          </cell>
          <cell r="J91">
            <v>4.7100000000000003E-2</v>
          </cell>
          <cell r="K91">
            <v>4.9500000000000002E-2</v>
          </cell>
          <cell r="L91">
            <v>5.1900000000000002E-2</v>
          </cell>
        </row>
        <row r="92">
          <cell r="H92">
            <v>46110</v>
          </cell>
          <cell r="I92">
            <v>4.3999999999999997E-2</v>
          </cell>
          <cell r="J92">
            <v>4.7100000000000003E-2</v>
          </cell>
          <cell r="K92">
            <v>4.9500000000000002E-2</v>
          </cell>
          <cell r="L92">
            <v>5.1900000000000002E-2</v>
          </cell>
        </row>
        <row r="93">
          <cell r="H93">
            <v>46111</v>
          </cell>
          <cell r="I93">
            <v>4.3999999999999997E-2</v>
          </cell>
          <cell r="J93">
            <v>4.7100000000000003E-2</v>
          </cell>
          <cell r="K93">
            <v>4.9500000000000002E-2</v>
          </cell>
          <cell r="L93">
            <v>5.1900000000000002E-2</v>
          </cell>
        </row>
        <row r="94">
          <cell r="H94">
            <v>46112</v>
          </cell>
          <cell r="I94">
            <v>4.3299999999999998E-2</v>
          </cell>
          <cell r="J94">
            <v>4.6399999999999997E-2</v>
          </cell>
          <cell r="K94">
            <v>4.87E-2</v>
          </cell>
          <cell r="L94">
            <v>5.1200000000000002E-2</v>
          </cell>
        </row>
        <row r="95">
          <cell r="H95">
            <v>46113</v>
          </cell>
          <cell r="I95">
            <v>4.3099999999999999E-2</v>
          </cell>
          <cell r="J95">
            <v>4.6199999999999998E-2</v>
          </cell>
          <cell r="K95">
            <v>4.8599999999999997E-2</v>
          </cell>
          <cell r="L95">
            <v>5.0999999999999997E-2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4A5F544-68E3-4AE5-9B70-B029EA4CB5DA}">
  <we:reference id="1c33aa47-7f18-45ef-9463-1a8a868f1e5b" version="1.0.0.2" store="EXCatalog" storeType="EXCatalog"/>
  <we:alternateReferences>
    <we:reference id="WA200003692" version="1.0.0.2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81" activePane="bottomLeft" state="frozen"/>
      <selection pane="bottomLeft" activeCell="B95" sqref="B95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6"/>
      <c r="B1" s="51" t="s">
        <v>4</v>
      </c>
      <c r="C1" s="52"/>
      <c r="D1" s="52"/>
      <c r="E1" s="53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2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2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2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2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2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2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2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2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2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2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2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2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2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2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2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2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2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2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2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2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2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2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2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2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2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2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2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2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2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2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2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2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2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2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2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2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2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2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2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2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2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2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2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2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2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2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2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2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2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2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2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2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2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2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2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2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2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25">
      <c r="A62" s="15">
        <f>'[1]Jumbo Bus Date to PDD'!H63</f>
        <v>46081</v>
      </c>
      <c r="B62" s="17">
        <f ca="1">'[1]Jumbo Bus Date to PDD'!I63</f>
        <v>3.8199999999999998E-2</v>
      </c>
      <c r="C62" s="47">
        <f ca="1">'[1]Jumbo Bus Date to PDD'!J63</f>
        <v>4.1700000000000001E-2</v>
      </c>
      <c r="D62" s="47">
        <f ca="1">'[1]Jumbo Bus Date to PDD'!K63</f>
        <v>4.4400000000000002E-2</v>
      </c>
      <c r="E62" s="5">
        <f ca="1">'[1]Jumbo Bus Date to PDD'!L63</f>
        <v>4.7300000000000002E-2</v>
      </c>
    </row>
    <row r="63" spans="1:5" x14ac:dyDescent="0.25">
      <c r="A63" s="15">
        <f>'[1]Jumbo Bus Date to PDD'!H64</f>
        <v>46082</v>
      </c>
      <c r="B63" s="17">
        <f ca="1">'[1]Jumbo Bus Date to PDD'!I64</f>
        <v>3.8199999999999998E-2</v>
      </c>
      <c r="C63" s="47">
        <f ca="1">'[1]Jumbo Bus Date to PDD'!J64</f>
        <v>4.1700000000000001E-2</v>
      </c>
      <c r="D63" s="47">
        <f ca="1">'[1]Jumbo Bus Date to PDD'!K64</f>
        <v>4.4400000000000002E-2</v>
      </c>
      <c r="E63" s="5">
        <f ca="1">'[1]Jumbo Bus Date to PDD'!L64</f>
        <v>4.7300000000000002E-2</v>
      </c>
    </row>
    <row r="64" spans="1:5" x14ac:dyDescent="0.25">
      <c r="A64" s="15">
        <f>'[1]Jumbo Bus Date to PDD'!H65</f>
        <v>46083</v>
      </c>
      <c r="B64" s="17">
        <f ca="1">'[1]Jumbo Bus Date to PDD'!I65</f>
        <v>3.8199999999999998E-2</v>
      </c>
      <c r="C64" s="47">
        <f ca="1">'[1]Jumbo Bus Date to PDD'!J65</f>
        <v>4.1700000000000001E-2</v>
      </c>
      <c r="D64" s="47">
        <f ca="1">'[1]Jumbo Bus Date to PDD'!K65</f>
        <v>4.4400000000000002E-2</v>
      </c>
      <c r="E64" s="5">
        <f ca="1">'[1]Jumbo Bus Date to PDD'!L65</f>
        <v>4.7300000000000002E-2</v>
      </c>
    </row>
    <row r="65" spans="1:5" x14ac:dyDescent="0.25">
      <c r="A65" s="15">
        <f>'[1]Jumbo Bus Date to PDD'!H66</f>
        <v>46084</v>
      </c>
      <c r="B65" s="17">
        <f ca="1">'[1]Jumbo Bus Date to PDD'!I66</f>
        <v>3.9300000000000002E-2</v>
      </c>
      <c r="C65" s="47">
        <f ca="1">'[1]Jumbo Bus Date to PDD'!J66</f>
        <v>4.2700000000000002E-2</v>
      </c>
      <c r="D65" s="47">
        <f ca="1">'[1]Jumbo Bus Date to PDD'!K66</f>
        <v>4.53E-2</v>
      </c>
      <c r="E65" s="5">
        <f ca="1">'[1]Jumbo Bus Date to PDD'!L66</f>
        <v>4.8099999999999997E-2</v>
      </c>
    </row>
    <row r="66" spans="1:5" x14ac:dyDescent="0.25">
      <c r="A66" s="15">
        <f>'[1]Jumbo Bus Date to PDD'!H67</f>
        <v>46085</v>
      </c>
      <c r="B66" s="17">
        <f ca="1">'[1]Jumbo Bus Date to PDD'!I67</f>
        <v>3.9399999999999998E-2</v>
      </c>
      <c r="C66" s="47">
        <f ca="1">'[1]Jumbo Bus Date to PDD'!J67</f>
        <v>4.2799999999999998E-2</v>
      </c>
      <c r="D66" s="47">
        <f ca="1">'[1]Jumbo Bus Date to PDD'!K67</f>
        <v>4.5400000000000003E-2</v>
      </c>
      <c r="E66" s="5">
        <f ca="1">'[1]Jumbo Bus Date to PDD'!L67</f>
        <v>4.82E-2</v>
      </c>
    </row>
    <row r="67" spans="1:5" x14ac:dyDescent="0.25">
      <c r="A67" s="15">
        <f>'[1]Jumbo Bus Date to PDD'!H68</f>
        <v>46086</v>
      </c>
      <c r="B67" s="17">
        <f ca="1">'[1]Jumbo Bus Date to PDD'!I68</f>
        <v>3.95E-2</v>
      </c>
      <c r="C67" s="47">
        <f ca="1">'[1]Jumbo Bus Date to PDD'!J68</f>
        <v>4.2799999999999998E-2</v>
      </c>
      <c r="D67" s="47">
        <f ca="1">'[1]Jumbo Bus Date to PDD'!K68</f>
        <v>4.5400000000000003E-2</v>
      </c>
      <c r="E67" s="5">
        <f ca="1">'[1]Jumbo Bus Date to PDD'!L68</f>
        <v>4.8099999999999997E-2</v>
      </c>
    </row>
    <row r="68" spans="1:5" x14ac:dyDescent="0.25">
      <c r="A68" s="15">
        <f>'[1]Jumbo Bus Date to PDD'!H69</f>
        <v>46087</v>
      </c>
      <c r="B68" s="17">
        <f ca="1">'[1]Jumbo Bus Date to PDD'!I69</f>
        <v>0.04</v>
      </c>
      <c r="C68" s="47">
        <f ca="1">'[1]Jumbo Bus Date to PDD'!J69</f>
        <v>4.3299999999999998E-2</v>
      </c>
      <c r="D68" s="47">
        <f ca="1">'[1]Jumbo Bus Date to PDD'!K69</f>
        <v>4.5900000000000003E-2</v>
      </c>
      <c r="E68" s="5">
        <f ca="1">'[1]Jumbo Bus Date to PDD'!L69</f>
        <v>4.8599999999999997E-2</v>
      </c>
    </row>
    <row r="69" spans="1:5" x14ac:dyDescent="0.25">
      <c r="A69" s="15">
        <f>'[1]Jumbo Bus Date to PDD'!H70</f>
        <v>46088</v>
      </c>
      <c r="B69" s="17">
        <f ca="1">'[1]Jumbo Bus Date to PDD'!I70</f>
        <v>4.02E-2</v>
      </c>
      <c r="C69" s="47">
        <f ca="1">'[1]Jumbo Bus Date to PDD'!J70</f>
        <v>4.36E-2</v>
      </c>
      <c r="D69" s="47">
        <f ca="1">'[1]Jumbo Bus Date to PDD'!K70</f>
        <v>4.6199999999999998E-2</v>
      </c>
      <c r="E69" s="5">
        <f ca="1">'[1]Jumbo Bus Date to PDD'!L70</f>
        <v>4.8899999999999999E-2</v>
      </c>
    </row>
    <row r="70" spans="1:5" x14ac:dyDescent="0.25">
      <c r="A70" s="15">
        <f>'[1]Jumbo Bus Date to PDD'!H71</f>
        <v>46089</v>
      </c>
      <c r="B70" s="17">
        <f ca="1">'[1]Jumbo Bus Date to PDD'!I71</f>
        <v>4.02E-2</v>
      </c>
      <c r="C70" s="47">
        <f ca="1">'[1]Jumbo Bus Date to PDD'!J71</f>
        <v>4.36E-2</v>
      </c>
      <c r="D70" s="47">
        <f ca="1">'[1]Jumbo Bus Date to PDD'!K71</f>
        <v>4.6199999999999998E-2</v>
      </c>
      <c r="E70" s="5">
        <f ca="1">'[1]Jumbo Bus Date to PDD'!L71</f>
        <v>4.8899999999999999E-2</v>
      </c>
    </row>
    <row r="71" spans="1:5" x14ac:dyDescent="0.25">
      <c r="A71" s="15">
        <f>'[1]Jumbo Bus Date to PDD'!H72</f>
        <v>46090</v>
      </c>
      <c r="B71" s="17">
        <f ca="1">'[1]Jumbo Bus Date to PDD'!I72</f>
        <v>4.02E-2</v>
      </c>
      <c r="C71" s="47">
        <f ca="1">'[1]Jumbo Bus Date to PDD'!J72</f>
        <v>4.36E-2</v>
      </c>
      <c r="D71" s="47">
        <f ca="1">'[1]Jumbo Bus Date to PDD'!K72</f>
        <v>4.6199999999999998E-2</v>
      </c>
      <c r="E71" s="5">
        <f ca="1">'[1]Jumbo Bus Date to PDD'!L72</f>
        <v>4.8899999999999999E-2</v>
      </c>
    </row>
    <row r="72" spans="1:5" x14ac:dyDescent="0.25">
      <c r="A72" s="15">
        <f>'[1]Jumbo Bus Date to PDD'!H73</f>
        <v>46091</v>
      </c>
      <c r="B72" s="17">
        <f ca="1">'[1]Jumbo Bus Date to PDD'!I73</f>
        <v>0.04</v>
      </c>
      <c r="C72" s="47">
        <f ca="1">'[1]Jumbo Bus Date to PDD'!J73</f>
        <v>4.3299999999999998E-2</v>
      </c>
      <c r="D72" s="47">
        <f ca="1">'[1]Jumbo Bus Date to PDD'!K73</f>
        <v>4.58E-2</v>
      </c>
      <c r="E72" s="5">
        <f ca="1">'[1]Jumbo Bus Date to PDD'!L73</f>
        <v>4.8500000000000001E-2</v>
      </c>
    </row>
    <row r="73" spans="1:5" x14ac:dyDescent="0.25">
      <c r="A73" s="15">
        <f>'[1]Jumbo Bus Date to PDD'!H74</f>
        <v>46092</v>
      </c>
      <c r="B73" s="17">
        <f ca="1">'[1]Jumbo Bus Date to PDD'!I74</f>
        <v>4.0300000000000002E-2</v>
      </c>
      <c r="C73" s="47">
        <f ca="1">'[1]Jumbo Bus Date to PDD'!J74</f>
        <v>4.3700000000000003E-2</v>
      </c>
      <c r="D73" s="47">
        <f ca="1">'[1]Jumbo Bus Date to PDD'!K74</f>
        <v>4.6300000000000001E-2</v>
      </c>
      <c r="E73" s="5">
        <f ca="1">'[1]Jumbo Bus Date to PDD'!L74</f>
        <v>4.9099999999999998E-2</v>
      </c>
    </row>
    <row r="74" spans="1:5" x14ac:dyDescent="0.25">
      <c r="A74" s="15">
        <f>'[1]Jumbo Bus Date to PDD'!H75</f>
        <v>46093</v>
      </c>
      <c r="B74" s="17">
        <f ca="1">'[1]Jumbo Bus Date to PDD'!I75</f>
        <v>4.1099999999999998E-2</v>
      </c>
      <c r="C74" s="47">
        <f ca="1">'[1]Jumbo Bus Date to PDD'!J75</f>
        <v>4.4600000000000001E-2</v>
      </c>
      <c r="D74" s="47">
        <f ca="1">'[1]Jumbo Bus Date to PDD'!K75</f>
        <v>4.7300000000000002E-2</v>
      </c>
      <c r="E74" s="5">
        <f ca="1">'[1]Jumbo Bus Date to PDD'!L75</f>
        <v>5.0099999999999999E-2</v>
      </c>
    </row>
    <row r="75" spans="1:5" x14ac:dyDescent="0.25">
      <c r="A75" s="15">
        <f>'[1]Jumbo Bus Date to PDD'!H76</f>
        <v>46094</v>
      </c>
      <c r="B75" s="17">
        <f ca="1">'[1]Jumbo Bus Date to PDD'!I76</f>
        <v>4.2200000000000001E-2</v>
      </c>
      <c r="C75" s="47">
        <f ca="1">'[1]Jumbo Bus Date to PDD'!J76</f>
        <v>4.5400000000000003E-2</v>
      </c>
      <c r="D75" s="47">
        <f ca="1">'[1]Jumbo Bus Date to PDD'!K76</f>
        <v>4.8000000000000001E-2</v>
      </c>
      <c r="E75" s="5">
        <f ca="1">'[1]Jumbo Bus Date to PDD'!L76</f>
        <v>5.0700000000000002E-2</v>
      </c>
    </row>
    <row r="76" spans="1:5" x14ac:dyDescent="0.25">
      <c r="A76" s="15">
        <f>'[1]Jumbo Bus Date to PDD'!H77</f>
        <v>46095</v>
      </c>
      <c r="B76" s="17">
        <f ca="1">'[1]Jumbo Bus Date to PDD'!I77</f>
        <v>4.2500000000000003E-2</v>
      </c>
      <c r="C76" s="47">
        <f ca="1">'[1]Jumbo Bus Date to PDD'!J77</f>
        <v>4.58E-2</v>
      </c>
      <c r="D76" s="47">
        <f ca="1">'[1]Jumbo Bus Date to PDD'!K77</f>
        <v>4.8399999999999999E-2</v>
      </c>
      <c r="E76" s="5">
        <f ca="1">'[1]Jumbo Bus Date to PDD'!L77</f>
        <v>5.11E-2</v>
      </c>
    </row>
    <row r="77" spans="1:5" x14ac:dyDescent="0.25">
      <c r="A77" s="15">
        <f>'[1]Jumbo Bus Date to PDD'!H78</f>
        <v>46096</v>
      </c>
      <c r="B77" s="17">
        <f ca="1">'[1]Jumbo Bus Date to PDD'!I78</f>
        <v>4.2500000000000003E-2</v>
      </c>
      <c r="C77" s="47">
        <f ca="1">'[1]Jumbo Bus Date to PDD'!J78</f>
        <v>4.58E-2</v>
      </c>
      <c r="D77" s="47">
        <f ca="1">'[1]Jumbo Bus Date to PDD'!K78</f>
        <v>4.8399999999999999E-2</v>
      </c>
      <c r="E77" s="5">
        <f ca="1">'[1]Jumbo Bus Date to PDD'!L78</f>
        <v>5.11E-2</v>
      </c>
    </row>
    <row r="78" spans="1:5" x14ac:dyDescent="0.25">
      <c r="A78" s="15">
        <f>'[1]Jumbo Bus Date to PDD'!H79</f>
        <v>46097</v>
      </c>
      <c r="B78" s="17">
        <f ca="1">'[1]Jumbo Bus Date to PDD'!I79</f>
        <v>4.2500000000000003E-2</v>
      </c>
      <c r="C78" s="47">
        <f ca="1">'[1]Jumbo Bus Date to PDD'!J79</f>
        <v>4.58E-2</v>
      </c>
      <c r="D78" s="47">
        <f ca="1">'[1]Jumbo Bus Date to PDD'!K79</f>
        <v>4.8399999999999999E-2</v>
      </c>
      <c r="E78" s="5">
        <f ca="1">'[1]Jumbo Bus Date to PDD'!L79</f>
        <v>5.11E-2</v>
      </c>
    </row>
    <row r="79" spans="1:5" x14ac:dyDescent="0.25">
      <c r="A79" s="15">
        <f>'[1]Jumbo Bus Date to PDD'!H80</f>
        <v>46098</v>
      </c>
      <c r="B79" s="17">
        <f ca="1">'[1]Jumbo Bus Date to PDD'!I80</f>
        <v>4.2000000000000003E-2</v>
      </c>
      <c r="C79" s="47">
        <f ca="1">'[1]Jumbo Bus Date to PDD'!J80</f>
        <v>4.5199999999999997E-2</v>
      </c>
      <c r="D79" s="47">
        <f ca="1">'[1]Jumbo Bus Date to PDD'!K80</f>
        <v>4.7800000000000002E-2</v>
      </c>
      <c r="E79" s="5">
        <f ca="1">'[1]Jumbo Bus Date to PDD'!L80</f>
        <v>5.0500000000000003E-2</v>
      </c>
    </row>
    <row r="80" spans="1:5" x14ac:dyDescent="0.25">
      <c r="A80" s="15">
        <f>'[1]Jumbo Bus Date to PDD'!H81</f>
        <v>46099</v>
      </c>
      <c r="B80" s="17">
        <f ca="1">'[1]Jumbo Bus Date to PDD'!I81</f>
        <v>4.1599999999999998E-2</v>
      </c>
      <c r="C80" s="47">
        <f ca="1">'[1]Jumbo Bus Date to PDD'!J81</f>
        <v>4.48E-2</v>
      </c>
      <c r="D80" s="47">
        <f ca="1">'[1]Jumbo Bus Date to PDD'!K81</f>
        <v>4.7399999999999998E-2</v>
      </c>
      <c r="E80" s="5">
        <f ca="1">'[1]Jumbo Bus Date to PDD'!L81</f>
        <v>0.05</v>
      </c>
    </row>
    <row r="81" spans="1:5" x14ac:dyDescent="0.25">
      <c r="A81" s="15">
        <f>'[1]Jumbo Bus Date to PDD'!H82</f>
        <v>46100</v>
      </c>
      <c r="B81" s="17">
        <f ca="1">'[1]Jumbo Bus Date to PDD'!I82</f>
        <v>4.2299999999999997E-2</v>
      </c>
      <c r="C81" s="47">
        <f ca="1">'[1]Jumbo Bus Date to PDD'!J82</f>
        <v>4.5400000000000003E-2</v>
      </c>
      <c r="D81" s="47">
        <f ca="1">'[1]Jumbo Bus Date to PDD'!K82</f>
        <v>4.7800000000000002E-2</v>
      </c>
      <c r="E81" s="5">
        <f ca="1">'[1]Jumbo Bus Date to PDD'!L82</f>
        <v>5.04E-2</v>
      </c>
    </row>
    <row r="82" spans="1:5" x14ac:dyDescent="0.25">
      <c r="A82" s="15">
        <f>'[1]Jumbo Bus Date to PDD'!H83</f>
        <v>46101</v>
      </c>
      <c r="B82" s="17">
        <f ca="1">'[1]Jumbo Bus Date to PDD'!I83</f>
        <v>4.24E-2</v>
      </c>
      <c r="C82" s="47">
        <f ca="1">'[1]Jumbo Bus Date to PDD'!J83</f>
        <v>4.5400000000000003E-2</v>
      </c>
      <c r="D82" s="47">
        <f ca="1">'[1]Jumbo Bus Date to PDD'!K83</f>
        <v>4.7699999999999999E-2</v>
      </c>
      <c r="E82" s="5">
        <f ca="1">'[1]Jumbo Bus Date to PDD'!L83</f>
        <v>5.0200000000000002E-2</v>
      </c>
    </row>
    <row r="83" spans="1:5" x14ac:dyDescent="0.25">
      <c r="A83" s="15">
        <f>'[1]Jumbo Bus Date to PDD'!H84</f>
        <v>46102</v>
      </c>
      <c r="B83" s="17">
        <f ca="1">'[1]Jumbo Bus Date to PDD'!I84</f>
        <v>4.3400000000000001E-2</v>
      </c>
      <c r="C83" s="47">
        <f ca="1">'[1]Jumbo Bus Date to PDD'!J84</f>
        <v>4.65E-2</v>
      </c>
      <c r="D83" s="47">
        <f ca="1">'[1]Jumbo Bus Date to PDD'!K84</f>
        <v>4.9000000000000002E-2</v>
      </c>
      <c r="E83" s="5">
        <f ca="1">'[1]Jumbo Bus Date to PDD'!L84</f>
        <v>5.1499999999999997E-2</v>
      </c>
    </row>
    <row r="84" spans="1:5" x14ac:dyDescent="0.25">
      <c r="A84" s="15">
        <f>'[1]Jumbo Bus Date to PDD'!H85</f>
        <v>46103</v>
      </c>
      <c r="B84" s="17">
        <f ca="1">'[1]Jumbo Bus Date to PDD'!I85</f>
        <v>4.3400000000000001E-2</v>
      </c>
      <c r="C84" s="47">
        <f ca="1">'[1]Jumbo Bus Date to PDD'!J85</f>
        <v>4.65E-2</v>
      </c>
      <c r="D84" s="47">
        <f ca="1">'[1]Jumbo Bus Date to PDD'!K85</f>
        <v>4.9000000000000002E-2</v>
      </c>
      <c r="E84" s="5">
        <f ca="1">'[1]Jumbo Bus Date to PDD'!L85</f>
        <v>5.1499999999999997E-2</v>
      </c>
    </row>
    <row r="85" spans="1:5" x14ac:dyDescent="0.25">
      <c r="A85" s="15">
        <f>'[1]Jumbo Bus Date to PDD'!H86</f>
        <v>46104</v>
      </c>
      <c r="B85" s="17">
        <f ca="1">'[1]Jumbo Bus Date to PDD'!I86</f>
        <v>4.3400000000000001E-2</v>
      </c>
      <c r="C85" s="47">
        <f ca="1">'[1]Jumbo Bus Date to PDD'!J86</f>
        <v>4.65E-2</v>
      </c>
      <c r="D85" s="47">
        <f ca="1">'[1]Jumbo Bus Date to PDD'!K86</f>
        <v>4.9000000000000002E-2</v>
      </c>
      <c r="E85" s="5">
        <f ca="1">'[1]Jumbo Bus Date to PDD'!L86</f>
        <v>5.1499999999999997E-2</v>
      </c>
    </row>
    <row r="86" spans="1:5" x14ac:dyDescent="0.25">
      <c r="A86" s="15">
        <f>'[1]Jumbo Bus Date to PDD'!H87</f>
        <v>46105</v>
      </c>
      <c r="B86" s="17">
        <f ca="1">'[1]Jumbo Bus Date to PDD'!I87</f>
        <v>4.2900000000000001E-2</v>
      </c>
      <c r="C86" s="47">
        <f ca="1">'[1]Jumbo Bus Date to PDD'!J87</f>
        <v>4.5999999999999999E-2</v>
      </c>
      <c r="D86" s="47">
        <f ca="1">'[1]Jumbo Bus Date to PDD'!K87</f>
        <v>4.8399999999999999E-2</v>
      </c>
      <c r="E86" s="5">
        <f ca="1">'[1]Jumbo Bus Date to PDD'!L87</f>
        <v>5.0900000000000001E-2</v>
      </c>
    </row>
    <row r="87" spans="1:5" x14ac:dyDescent="0.25">
      <c r="A87" s="15">
        <f>'[1]Jumbo Bus Date to PDD'!H88</f>
        <v>46106</v>
      </c>
      <c r="B87" s="17">
        <f ca="1">'[1]Jumbo Bus Date to PDD'!I88</f>
        <v>4.3299999999999998E-2</v>
      </c>
      <c r="C87" s="47">
        <f ca="1">'[1]Jumbo Bus Date to PDD'!J88</f>
        <v>4.6399999999999997E-2</v>
      </c>
      <c r="D87" s="47">
        <f ca="1">'[1]Jumbo Bus Date to PDD'!K88</f>
        <v>4.87E-2</v>
      </c>
      <c r="E87" s="5">
        <f ca="1">'[1]Jumbo Bus Date to PDD'!L88</f>
        <v>5.1200000000000002E-2</v>
      </c>
    </row>
    <row r="88" spans="1:5" x14ac:dyDescent="0.25">
      <c r="A88" s="15">
        <f>'[1]Jumbo Bus Date to PDD'!H89</f>
        <v>46107</v>
      </c>
      <c r="B88" s="17">
        <f ca="1">'[1]Jumbo Bus Date to PDD'!I89</f>
        <v>4.2799999999999998E-2</v>
      </c>
      <c r="C88" s="47">
        <f ca="1">'[1]Jumbo Bus Date to PDD'!J89</f>
        <v>4.5699999999999998E-2</v>
      </c>
      <c r="D88" s="47">
        <f ca="1">'[1]Jumbo Bus Date to PDD'!K89</f>
        <v>4.8099999999999997E-2</v>
      </c>
      <c r="E88" s="5">
        <f ca="1">'[1]Jumbo Bus Date to PDD'!L89</f>
        <v>5.0599999999999999E-2</v>
      </c>
    </row>
    <row r="89" spans="1:5" x14ac:dyDescent="0.25">
      <c r="A89" s="15">
        <f>'[1]Jumbo Bus Date to PDD'!H90</f>
        <v>46108</v>
      </c>
      <c r="B89" s="17">
        <f ca="1">'[1]Jumbo Bus Date to PDD'!I90</f>
        <v>4.3999999999999997E-2</v>
      </c>
      <c r="C89" s="47">
        <f ca="1">'[1]Jumbo Bus Date to PDD'!J90</f>
        <v>4.6899999999999997E-2</v>
      </c>
      <c r="D89" s="47">
        <f ca="1">'[1]Jumbo Bus Date to PDD'!K90</f>
        <v>4.9099999999999998E-2</v>
      </c>
      <c r="E89" s="5">
        <f ca="1">'[1]Jumbo Bus Date to PDD'!L90</f>
        <v>5.1499999999999997E-2</v>
      </c>
    </row>
    <row r="90" spans="1:5" x14ac:dyDescent="0.25">
      <c r="A90" s="15">
        <f>'[1]Jumbo Bus Date to PDD'!H91</f>
        <v>46109</v>
      </c>
      <c r="B90" s="17">
        <f ca="1">'[1]Jumbo Bus Date to PDD'!I91</f>
        <v>4.3999999999999997E-2</v>
      </c>
      <c r="C90" s="47">
        <f ca="1">'[1]Jumbo Bus Date to PDD'!J91</f>
        <v>4.7100000000000003E-2</v>
      </c>
      <c r="D90" s="47">
        <f ca="1">'[1]Jumbo Bus Date to PDD'!K91</f>
        <v>4.9500000000000002E-2</v>
      </c>
      <c r="E90" s="5">
        <f ca="1">'[1]Jumbo Bus Date to PDD'!L91</f>
        <v>5.1900000000000002E-2</v>
      </c>
    </row>
    <row r="91" spans="1:5" x14ac:dyDescent="0.25">
      <c r="A91" s="15">
        <f>'[1]Jumbo Bus Date to PDD'!H92</f>
        <v>46110</v>
      </c>
      <c r="B91" s="17">
        <f ca="1">'[1]Jumbo Bus Date to PDD'!I92</f>
        <v>4.3999999999999997E-2</v>
      </c>
      <c r="C91" s="47">
        <f ca="1">'[1]Jumbo Bus Date to PDD'!J92</f>
        <v>4.7100000000000003E-2</v>
      </c>
      <c r="D91" s="47">
        <f ca="1">'[1]Jumbo Bus Date to PDD'!K92</f>
        <v>4.9500000000000002E-2</v>
      </c>
      <c r="E91" s="5">
        <f ca="1">'[1]Jumbo Bus Date to PDD'!L92</f>
        <v>5.1900000000000002E-2</v>
      </c>
    </row>
    <row r="92" spans="1:5" x14ac:dyDescent="0.25">
      <c r="A92" s="15">
        <f>'[1]Jumbo Bus Date to PDD'!H93</f>
        <v>46111</v>
      </c>
      <c r="B92" s="17">
        <f ca="1">'[1]Jumbo Bus Date to PDD'!I93</f>
        <v>4.3999999999999997E-2</v>
      </c>
      <c r="C92" s="47">
        <f ca="1">'[1]Jumbo Bus Date to PDD'!J93</f>
        <v>4.7100000000000003E-2</v>
      </c>
      <c r="D92" s="47">
        <f ca="1">'[1]Jumbo Bus Date to PDD'!K93</f>
        <v>4.9500000000000002E-2</v>
      </c>
      <c r="E92" s="5">
        <f ca="1">'[1]Jumbo Bus Date to PDD'!L93</f>
        <v>5.1900000000000002E-2</v>
      </c>
    </row>
    <row r="93" spans="1:5" x14ac:dyDescent="0.25">
      <c r="A93" s="15">
        <f>'[1]Jumbo Bus Date to PDD'!H94</f>
        <v>46112</v>
      </c>
      <c r="B93" s="17">
        <f ca="1">'[1]Jumbo Bus Date to PDD'!I94</f>
        <v>4.3299999999999998E-2</v>
      </c>
      <c r="C93" s="47">
        <f ca="1">'[1]Jumbo Bus Date to PDD'!J94</f>
        <v>4.6399999999999997E-2</v>
      </c>
      <c r="D93" s="47">
        <f ca="1">'[1]Jumbo Bus Date to PDD'!K94</f>
        <v>4.87E-2</v>
      </c>
      <c r="E93" s="5">
        <f ca="1">'[1]Jumbo Bus Date to PDD'!L94</f>
        <v>5.1200000000000002E-2</v>
      </c>
    </row>
    <row r="94" spans="1:5" x14ac:dyDescent="0.25">
      <c r="A94" s="15">
        <f>'[1]Jumbo Bus Date to PDD'!H95</f>
        <v>46113</v>
      </c>
      <c r="B94" s="17">
        <f ca="1">'[1]Jumbo Bus Date to PDD'!I95</f>
        <v>4.3099999999999999E-2</v>
      </c>
      <c r="C94" s="47">
        <f ca="1">'[1]Jumbo Bus Date to PDD'!J95</f>
        <v>4.6199999999999998E-2</v>
      </c>
      <c r="D94" s="47">
        <f ca="1">'[1]Jumbo Bus Date to PDD'!K95</f>
        <v>4.8599999999999997E-2</v>
      </c>
      <c r="E94" s="5">
        <f ca="1">'[1]Jumbo Bus Date to PDD'!L95</f>
        <v>5.0999999999999997E-2</v>
      </c>
    </row>
    <row r="95" spans="1:5" x14ac:dyDescent="0.2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2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2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2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2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2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2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2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2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2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2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2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2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2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2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2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2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2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2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2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2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2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2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2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2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2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2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2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2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2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2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2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2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2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2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2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2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2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2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2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2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2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2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2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2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2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2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2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2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2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2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2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2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2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2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2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2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2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2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2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2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2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2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2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2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2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2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2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2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2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2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2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2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2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2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2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2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2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2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2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2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2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2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2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2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2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2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2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2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2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2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2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2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2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2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2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2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2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2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2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2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2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2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2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2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2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2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2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2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2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2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2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2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2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2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2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2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2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2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2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2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2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2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2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2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2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2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2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2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2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2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2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2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2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2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2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2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2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2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2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2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2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2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2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2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2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2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2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2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2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2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2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2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2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2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2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2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2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2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2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2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2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2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2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2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2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2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2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2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2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2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2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2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2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2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2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2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2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2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2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2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2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2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2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2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2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2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2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2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2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2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2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2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2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2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2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2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2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2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2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2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2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2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2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2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2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2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2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2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2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2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2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2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2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2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2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2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2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2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2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2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2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2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2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2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2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2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2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2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2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2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2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2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2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2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2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2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2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2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2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2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2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2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2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2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2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2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2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2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2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2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2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2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2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2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2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2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2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2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2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2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2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2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2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2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2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2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2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2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2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2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2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2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2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2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4" t="s">
        <v>8</v>
      </c>
      <c r="B1" s="55"/>
      <c r="C1" s="55"/>
      <c r="D1" s="55"/>
      <c r="E1" s="56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1" t="s">
        <v>5</v>
      </c>
      <c r="C3" s="52"/>
      <c r="D3" s="52"/>
      <c r="E3" s="53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4/1/2026 - 6/30/2026</v>
      </c>
      <c r="B7" s="9">
        <f ca="1">IF(ISNA('[1]Non-Jumbo Rates'!$D$19),"",'[1]Non-Jumbo Rates'!$D$19)</f>
        <v>4.2500000000000003E-2</v>
      </c>
      <c r="C7" s="9">
        <f ca="1">IF(ISNA('[1]Non-Jumbo Rates'!$D$20),"",'[1]Non-Jumbo Rates'!$D$20)</f>
        <v>4.4999999999999998E-2</v>
      </c>
      <c r="D7" s="10">
        <f ca="1">IF(ISNA('[1]Non-Jumbo Rates'!$D$21),"",'[1]Non-Jumbo Rates'!$D$21)</f>
        <v>0.05</v>
      </c>
      <c r="E7" s="9">
        <f ca="1">IF(ISNA('[1]Non-Jumbo Rates'!$D$22),"",'[1]Non-Jumbo Rates'!$D$22)</f>
        <v>5.2499999999999998E-2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2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0" t="s">
        <v>41</v>
      </c>
      <c r="B1" s="60"/>
      <c r="C1" s="60"/>
      <c r="D1" s="60"/>
      <c r="E1" s="60"/>
    </row>
    <row r="2" spans="1:9" x14ac:dyDescent="0.25">
      <c r="A2" s="60" t="s">
        <v>42</v>
      </c>
      <c r="B2" s="60"/>
      <c r="C2" s="60"/>
      <c r="D2" s="60"/>
      <c r="E2" s="60"/>
    </row>
    <row r="3" spans="1:9" x14ac:dyDescent="0.25">
      <c r="A3" t="s">
        <v>37</v>
      </c>
    </row>
    <row r="4" spans="1:9" x14ac:dyDescent="0.25">
      <c r="A4" s="51" t="s">
        <v>9</v>
      </c>
      <c r="B4" s="52"/>
      <c r="C4" s="52"/>
      <c r="D4" s="52"/>
      <c r="E4" s="53"/>
    </row>
    <row r="5" spans="1:9" x14ac:dyDescent="0.2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2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38</v>
      </c>
      <c r="B12" s="22"/>
      <c r="C12" s="22"/>
      <c r="D12" s="22"/>
      <c r="E12" s="22"/>
      <c r="F12" s="22"/>
    </row>
    <row r="13" spans="1:9" x14ac:dyDescent="0.25">
      <c r="A13" s="57" t="s">
        <v>9</v>
      </c>
      <c r="B13" s="58"/>
      <c r="C13" s="58"/>
      <c r="D13" s="58"/>
      <c r="E13" s="59"/>
      <c r="F13" s="22"/>
    </row>
    <row r="14" spans="1:9" x14ac:dyDescent="0.2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2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2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2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2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39</v>
      </c>
      <c r="B21" s="22"/>
      <c r="C21" s="22"/>
      <c r="D21" s="22"/>
      <c r="E21" s="22"/>
      <c r="F21" s="22"/>
    </row>
    <row r="22" spans="1:13" x14ac:dyDescent="0.25">
      <c r="A22" s="57" t="s">
        <v>9</v>
      </c>
      <c r="B22" s="58"/>
      <c r="C22" s="58"/>
      <c r="D22" s="59"/>
      <c r="E22" s="22"/>
      <c r="F22" s="22"/>
    </row>
    <row r="23" spans="1:13" x14ac:dyDescent="0.2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2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40</v>
      </c>
      <c r="B29" s="22"/>
      <c r="C29" s="22"/>
      <c r="D29" s="22"/>
      <c r="E29" s="22"/>
      <c r="F29" s="22"/>
      <c r="G29" s="22"/>
    </row>
    <row r="30" spans="1:13" x14ac:dyDescent="0.25">
      <c r="A30" s="57" t="s">
        <v>9</v>
      </c>
      <c r="B30" s="58"/>
      <c r="C30" s="58"/>
      <c r="D30" s="58"/>
      <c r="E30" s="58"/>
      <c r="F30" s="58"/>
      <c r="G30" s="59"/>
    </row>
    <row r="31" spans="1:13" x14ac:dyDescent="0.2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2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2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2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2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2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>
        <f>IF('[1]Spreads VM-V Table X'!Z6=0,"",'[1]Spreads VM-V Table X'!Z6)</f>
        <v>11.56</v>
      </c>
      <c r="O6" s="44">
        <f>IF('[1]Spreads VM-V Table X'!AA6=0,"",'[1]Spreads VM-V Table X'!AA6)</f>
        <v>18.23</v>
      </c>
      <c r="P6" s="44">
        <f>IF('[1]Spreads VM-V Table X'!AB6=0,"",'[1]Spreads VM-V Table X'!AB6)</f>
        <v>24.9</v>
      </c>
      <c r="Q6" s="44">
        <f>IF('[1]Spreads VM-V Table X'!AC6=0,"",'[1]Spreads VM-V Table X'!AC6)</f>
        <v>30.77</v>
      </c>
      <c r="R6" s="44">
        <f>IF('[1]Spreads VM-V Table X'!AD6=0,"",'[1]Spreads VM-V Table X'!AD6)</f>
        <v>36.630000000000003</v>
      </c>
      <c r="S6" s="44">
        <f>IF('[1]Spreads VM-V Table X'!AE6=0,"",'[1]Spreads VM-V Table X'!AE6)</f>
        <v>42.5</v>
      </c>
      <c r="T6" s="44">
        <f>IF('[1]Spreads VM-V Table X'!AF6=0,"",'[1]Spreads VM-V Table X'!AF6)</f>
        <v>50.1</v>
      </c>
      <c r="U6" s="44">
        <f>IF('[1]Spreads VM-V Table X'!AG6=0,"",'[1]Spreads VM-V Table X'!AG6)</f>
        <v>57.71</v>
      </c>
      <c r="V6" s="44">
        <f>IF('[1]Spreads VM-V Table X'!AH6=0,"",'[1]Spreads VM-V Table X'!AH6)</f>
        <v>65.319999999999993</v>
      </c>
      <c r="W6" s="44">
        <f>IF('[1]Spreads VM-V Table X'!AI6=0,"",'[1]Spreads VM-V Table X'!AI6)</f>
        <v>103.23</v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2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>
        <f>IF('[1]Spreads VM-V Table X'!Z7=0,"",'[1]Spreads VM-V Table X'!Z7)</f>
        <v>14.38</v>
      </c>
      <c r="O7" s="44">
        <f>IF('[1]Spreads VM-V Table X'!AA7=0,"",'[1]Spreads VM-V Table X'!AA7)</f>
        <v>22.17</v>
      </c>
      <c r="P7" s="44">
        <f>IF('[1]Spreads VM-V Table X'!AB7=0,"",'[1]Spreads VM-V Table X'!AB7)</f>
        <v>29.96</v>
      </c>
      <c r="Q7" s="44">
        <f>IF('[1]Spreads VM-V Table X'!AC7=0,"",'[1]Spreads VM-V Table X'!AC7)</f>
        <v>36.04</v>
      </c>
      <c r="R7" s="44">
        <f>IF('[1]Spreads VM-V Table X'!AD7=0,"",'[1]Spreads VM-V Table X'!AD7)</f>
        <v>42.12</v>
      </c>
      <c r="S7" s="44">
        <f>IF('[1]Spreads VM-V Table X'!AE7=0,"",'[1]Spreads VM-V Table X'!AE7)</f>
        <v>48.2</v>
      </c>
      <c r="T7" s="44">
        <f>IF('[1]Spreads VM-V Table X'!AF7=0,"",'[1]Spreads VM-V Table X'!AF7)</f>
        <v>56.92</v>
      </c>
      <c r="U7" s="44">
        <f>IF('[1]Spreads VM-V Table X'!AG7=0,"",'[1]Spreads VM-V Table X'!AG7)</f>
        <v>65.63</v>
      </c>
      <c r="V7" s="44">
        <f>IF('[1]Spreads VM-V Table X'!AH7=0,"",'[1]Spreads VM-V Table X'!AH7)</f>
        <v>74.34</v>
      </c>
      <c r="W7" s="44">
        <f>IF('[1]Spreads VM-V Table X'!AI7=0,"",'[1]Spreads VM-V Table X'!AI7)</f>
        <v>107.74</v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2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>
        <f>IF('[1]Spreads VM-V Table X'!Z8=0,"",'[1]Spreads VM-V Table X'!Z8)</f>
        <v>17.2</v>
      </c>
      <c r="O8" s="44">
        <f>IF('[1]Spreads VM-V Table X'!AA8=0,"",'[1]Spreads VM-V Table X'!AA8)</f>
        <v>26.11</v>
      </c>
      <c r="P8" s="44">
        <f>IF('[1]Spreads VM-V Table X'!AB8=0,"",'[1]Spreads VM-V Table X'!AB8)</f>
        <v>35.01</v>
      </c>
      <c r="Q8" s="44">
        <f>IF('[1]Spreads VM-V Table X'!AC8=0,"",'[1]Spreads VM-V Table X'!AC8)</f>
        <v>41.31</v>
      </c>
      <c r="R8" s="44">
        <f>IF('[1]Spreads VM-V Table X'!AD8=0,"",'[1]Spreads VM-V Table X'!AD8)</f>
        <v>47.61</v>
      </c>
      <c r="S8" s="44">
        <f>IF('[1]Spreads VM-V Table X'!AE8=0,"",'[1]Spreads VM-V Table X'!AE8)</f>
        <v>53.91</v>
      </c>
      <c r="T8" s="44">
        <f>IF('[1]Spreads VM-V Table X'!AF8=0,"",'[1]Spreads VM-V Table X'!AF8)</f>
        <v>63.73</v>
      </c>
      <c r="U8" s="44">
        <f>IF('[1]Spreads VM-V Table X'!AG8=0,"",'[1]Spreads VM-V Table X'!AG8)</f>
        <v>73.55</v>
      </c>
      <c r="V8" s="44">
        <f>IF('[1]Spreads VM-V Table X'!AH8=0,"",'[1]Spreads VM-V Table X'!AH8)</f>
        <v>83.37</v>
      </c>
      <c r="W8" s="44">
        <f>IF('[1]Spreads VM-V Table X'!AI8=0,"",'[1]Spreads VM-V Table X'!AI8)</f>
        <v>112.25</v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2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>
        <f>IF('[1]Spreads VM-V Table X'!Z9=0,"",'[1]Spreads VM-V Table X'!Z9)</f>
        <v>20.03</v>
      </c>
      <c r="O9" s="44">
        <f>IF('[1]Spreads VM-V Table X'!AA9=0,"",'[1]Spreads VM-V Table X'!AA9)</f>
        <v>30.05</v>
      </c>
      <c r="P9" s="44">
        <f>IF('[1]Spreads VM-V Table X'!AB9=0,"",'[1]Spreads VM-V Table X'!AB9)</f>
        <v>40.07</v>
      </c>
      <c r="Q9" s="44">
        <f>IF('[1]Spreads VM-V Table X'!AC9=0,"",'[1]Spreads VM-V Table X'!AC9)</f>
        <v>46.59</v>
      </c>
      <c r="R9" s="44">
        <f>IF('[1]Spreads VM-V Table X'!AD9=0,"",'[1]Spreads VM-V Table X'!AD9)</f>
        <v>53.1</v>
      </c>
      <c r="S9" s="44">
        <f>IF('[1]Spreads VM-V Table X'!AE9=0,"",'[1]Spreads VM-V Table X'!AE9)</f>
        <v>59.62</v>
      </c>
      <c r="T9" s="44">
        <f>IF('[1]Spreads VM-V Table X'!AF9=0,"",'[1]Spreads VM-V Table X'!AF9)</f>
        <v>70.540000000000006</v>
      </c>
      <c r="U9" s="44">
        <f>IF('[1]Spreads VM-V Table X'!AG9=0,"",'[1]Spreads VM-V Table X'!AG9)</f>
        <v>81.47</v>
      </c>
      <c r="V9" s="44">
        <f>IF('[1]Spreads VM-V Table X'!AH9=0,"",'[1]Spreads VM-V Table X'!AH9)</f>
        <v>92.39</v>
      </c>
      <c r="W9" s="44">
        <f>IF('[1]Spreads VM-V Table X'!AI9=0,"",'[1]Spreads VM-V Table X'!AI9)</f>
        <v>116.76</v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2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>
        <f>IF('[1]Spreads VM-V Table X'!Z10=0,"",'[1]Spreads VM-V Table X'!Z10)</f>
        <v>23.33</v>
      </c>
      <c r="O10" s="44">
        <f>IF('[1]Spreads VM-V Table X'!AA10=0,"",'[1]Spreads VM-V Table X'!AA10)</f>
        <v>32.96</v>
      </c>
      <c r="P10" s="44">
        <f>IF('[1]Spreads VM-V Table X'!AB10=0,"",'[1]Spreads VM-V Table X'!AB10)</f>
        <v>42.6</v>
      </c>
      <c r="Q10" s="44">
        <f>IF('[1]Spreads VM-V Table X'!AC10=0,"",'[1]Spreads VM-V Table X'!AC10)</f>
        <v>49.79</v>
      </c>
      <c r="R10" s="44">
        <f>IF('[1]Spreads VM-V Table X'!AD10=0,"",'[1]Spreads VM-V Table X'!AD10)</f>
        <v>56.97</v>
      </c>
      <c r="S10" s="44">
        <f>IF('[1]Spreads VM-V Table X'!AE10=0,"",'[1]Spreads VM-V Table X'!AE10)</f>
        <v>64.16</v>
      </c>
      <c r="T10" s="44">
        <f>IF('[1]Spreads VM-V Table X'!AF10=0,"",'[1]Spreads VM-V Table X'!AF10)</f>
        <v>75.06</v>
      </c>
      <c r="U10" s="44">
        <f>IF('[1]Spreads VM-V Table X'!AG10=0,"",'[1]Spreads VM-V Table X'!AG10)</f>
        <v>85.96</v>
      </c>
      <c r="V10" s="44">
        <f>IF('[1]Spreads VM-V Table X'!AH10=0,"",'[1]Spreads VM-V Table X'!AH10)</f>
        <v>96.85</v>
      </c>
      <c r="W10" s="44">
        <f>IF('[1]Spreads VM-V Table X'!AI10=0,"",'[1]Spreads VM-V Table X'!AI10)</f>
        <v>118.99</v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2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>
        <f>IF('[1]Spreads VM-V Table X'!Z11=0,"",'[1]Spreads VM-V Table X'!Z11)</f>
        <v>26.63</v>
      </c>
      <c r="O11" s="44">
        <f>IF('[1]Spreads VM-V Table X'!AA11=0,"",'[1]Spreads VM-V Table X'!AA11)</f>
        <v>35.880000000000003</v>
      </c>
      <c r="P11" s="44">
        <f>IF('[1]Spreads VM-V Table X'!AB11=0,"",'[1]Spreads VM-V Table X'!AB11)</f>
        <v>45.13</v>
      </c>
      <c r="Q11" s="44">
        <f>IF('[1]Spreads VM-V Table X'!AC11=0,"",'[1]Spreads VM-V Table X'!AC11)</f>
        <v>52.99</v>
      </c>
      <c r="R11" s="44">
        <f>IF('[1]Spreads VM-V Table X'!AD11=0,"",'[1]Spreads VM-V Table X'!AD11)</f>
        <v>60.84</v>
      </c>
      <c r="S11" s="44">
        <f>IF('[1]Spreads VM-V Table X'!AE11=0,"",'[1]Spreads VM-V Table X'!AE11)</f>
        <v>68.7</v>
      </c>
      <c r="T11" s="44">
        <f>IF('[1]Spreads VM-V Table X'!AF11=0,"",'[1]Spreads VM-V Table X'!AF11)</f>
        <v>79.569999999999993</v>
      </c>
      <c r="U11" s="44">
        <f>IF('[1]Spreads VM-V Table X'!AG11=0,"",'[1]Spreads VM-V Table X'!AG11)</f>
        <v>90.44</v>
      </c>
      <c r="V11" s="44">
        <f>IF('[1]Spreads VM-V Table X'!AH11=0,"",'[1]Spreads VM-V Table X'!AH11)</f>
        <v>101.32</v>
      </c>
      <c r="W11" s="44">
        <f>IF('[1]Spreads VM-V Table X'!AI11=0,"",'[1]Spreads VM-V Table X'!AI11)</f>
        <v>121.23</v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2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>
        <f>IF('[1]Spreads VM-V Table X'!Z12=0,"",'[1]Spreads VM-V Table X'!Z12)</f>
        <v>26.07</v>
      </c>
      <c r="O12" s="44">
        <f>IF('[1]Spreads VM-V Table X'!AA12=0,"",'[1]Spreads VM-V Table X'!AA12)</f>
        <v>37.5</v>
      </c>
      <c r="P12" s="44">
        <f>IF('[1]Spreads VM-V Table X'!AB12=0,"",'[1]Spreads VM-V Table X'!AB12)</f>
        <v>48.94</v>
      </c>
      <c r="Q12" s="44">
        <f>IF('[1]Spreads VM-V Table X'!AC12=0,"",'[1]Spreads VM-V Table X'!AC12)</f>
        <v>56.85</v>
      </c>
      <c r="R12" s="44">
        <f>IF('[1]Spreads VM-V Table X'!AD12=0,"",'[1]Spreads VM-V Table X'!AD12)</f>
        <v>64.760000000000005</v>
      </c>
      <c r="S12" s="44">
        <f>IF('[1]Spreads VM-V Table X'!AE12=0,"",'[1]Spreads VM-V Table X'!AE12)</f>
        <v>72.67</v>
      </c>
      <c r="T12" s="44">
        <f>IF('[1]Spreads VM-V Table X'!AF12=0,"",'[1]Spreads VM-V Table X'!AF12)</f>
        <v>83.53</v>
      </c>
      <c r="U12" s="44">
        <f>IF('[1]Spreads VM-V Table X'!AG12=0,"",'[1]Spreads VM-V Table X'!AG12)</f>
        <v>94.38</v>
      </c>
      <c r="V12" s="44">
        <f>IF('[1]Spreads VM-V Table X'!AH12=0,"",'[1]Spreads VM-V Table X'!AH12)</f>
        <v>105.24</v>
      </c>
      <c r="W12" s="44">
        <f>IF('[1]Spreads VM-V Table X'!AI12=0,"",'[1]Spreads VM-V Table X'!AI12)</f>
        <v>123.19</v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2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>
        <f>IF('[1]Spreads VM-V Table X'!Z13=0,"",'[1]Spreads VM-V Table X'!Z13)</f>
        <v>25.51</v>
      </c>
      <c r="O13" s="44">
        <f>IF('[1]Spreads VM-V Table X'!AA13=0,"",'[1]Spreads VM-V Table X'!AA13)</f>
        <v>39.130000000000003</v>
      </c>
      <c r="P13" s="44">
        <f>IF('[1]Spreads VM-V Table X'!AB13=0,"",'[1]Spreads VM-V Table X'!AB13)</f>
        <v>52.74</v>
      </c>
      <c r="Q13" s="44">
        <f>IF('[1]Spreads VM-V Table X'!AC13=0,"",'[1]Spreads VM-V Table X'!AC13)</f>
        <v>60.71</v>
      </c>
      <c r="R13" s="44">
        <f>IF('[1]Spreads VM-V Table X'!AD13=0,"",'[1]Spreads VM-V Table X'!AD13)</f>
        <v>68.680000000000007</v>
      </c>
      <c r="S13" s="44">
        <f>IF('[1]Spreads VM-V Table X'!AE13=0,"",'[1]Spreads VM-V Table X'!AE13)</f>
        <v>76.650000000000006</v>
      </c>
      <c r="T13" s="44">
        <f>IF('[1]Spreads VM-V Table X'!AF13=0,"",'[1]Spreads VM-V Table X'!AF13)</f>
        <v>87.49</v>
      </c>
      <c r="U13" s="44">
        <f>IF('[1]Spreads VM-V Table X'!AG13=0,"",'[1]Spreads VM-V Table X'!AG13)</f>
        <v>98.32</v>
      </c>
      <c r="V13" s="44">
        <f>IF('[1]Spreads VM-V Table X'!AH13=0,"",'[1]Spreads VM-V Table X'!AH13)</f>
        <v>109.16</v>
      </c>
      <c r="W13" s="44">
        <f>IF('[1]Spreads VM-V Table X'!AI13=0,"",'[1]Spreads VM-V Table X'!AI13)</f>
        <v>125.15</v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2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>
        <f>IF('[1]Spreads VM-V Table X'!Z14=0,"",'[1]Spreads VM-V Table X'!Z14)</f>
        <v>24.95</v>
      </c>
      <c r="O14" s="44">
        <f>IF('[1]Spreads VM-V Table X'!AA14=0,"",'[1]Spreads VM-V Table X'!AA14)</f>
        <v>40.75</v>
      </c>
      <c r="P14" s="44">
        <f>IF('[1]Spreads VM-V Table X'!AB14=0,"",'[1]Spreads VM-V Table X'!AB14)</f>
        <v>56.55</v>
      </c>
      <c r="Q14" s="44">
        <f>IF('[1]Spreads VM-V Table X'!AC14=0,"",'[1]Spreads VM-V Table X'!AC14)</f>
        <v>64.569999999999993</v>
      </c>
      <c r="R14" s="44">
        <f>IF('[1]Spreads VM-V Table X'!AD14=0,"",'[1]Spreads VM-V Table X'!AD14)</f>
        <v>72.599999999999994</v>
      </c>
      <c r="S14" s="44">
        <f>IF('[1]Spreads VM-V Table X'!AE14=0,"",'[1]Spreads VM-V Table X'!AE14)</f>
        <v>80.63</v>
      </c>
      <c r="T14" s="44">
        <f>IF('[1]Spreads VM-V Table X'!AF14=0,"",'[1]Spreads VM-V Table X'!AF14)</f>
        <v>91.44</v>
      </c>
      <c r="U14" s="44">
        <f>IF('[1]Spreads VM-V Table X'!AG14=0,"",'[1]Spreads VM-V Table X'!AG14)</f>
        <v>102.26</v>
      </c>
      <c r="V14" s="44">
        <f>IF('[1]Spreads VM-V Table X'!AH14=0,"",'[1]Spreads VM-V Table X'!AH14)</f>
        <v>113.08</v>
      </c>
      <c r="W14" s="44">
        <f>IF('[1]Spreads VM-V Table X'!AI14=0,"",'[1]Spreads VM-V Table X'!AI14)</f>
        <v>127.11</v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2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>
        <f>IF('[1]Spreads VM-V Table X'!Z15=0,"",'[1]Spreads VM-V Table X'!Z15)</f>
        <v>26.61</v>
      </c>
      <c r="O15" s="44">
        <f>IF('[1]Spreads VM-V Table X'!AA15=0,"",'[1]Spreads VM-V Table X'!AA15)</f>
        <v>42.14</v>
      </c>
      <c r="P15" s="44">
        <f>IF('[1]Spreads VM-V Table X'!AB15=0,"",'[1]Spreads VM-V Table X'!AB15)</f>
        <v>57.67</v>
      </c>
      <c r="Q15" s="44">
        <f>IF('[1]Spreads VM-V Table X'!AC15=0,"",'[1]Spreads VM-V Table X'!AC15)</f>
        <v>65.38</v>
      </c>
      <c r="R15" s="44">
        <f>IF('[1]Spreads VM-V Table X'!AD15=0,"",'[1]Spreads VM-V Table X'!AD15)</f>
        <v>73.099999999999994</v>
      </c>
      <c r="S15" s="44">
        <f>IF('[1]Spreads VM-V Table X'!AE15=0,"",'[1]Spreads VM-V Table X'!AE15)</f>
        <v>80.819999999999993</v>
      </c>
      <c r="T15" s="44">
        <f>IF('[1]Spreads VM-V Table X'!AF15=0,"",'[1]Spreads VM-V Table X'!AF15)</f>
        <v>91.86</v>
      </c>
      <c r="U15" s="44">
        <f>IF('[1]Spreads VM-V Table X'!AG15=0,"",'[1]Spreads VM-V Table X'!AG15)</f>
        <v>102.91</v>
      </c>
      <c r="V15" s="44">
        <f>IF('[1]Spreads VM-V Table X'!AH15=0,"",'[1]Spreads VM-V Table X'!AH15)</f>
        <v>113.96</v>
      </c>
      <c r="W15" s="44">
        <f>IF('[1]Spreads VM-V Table X'!AI15=0,"",'[1]Spreads VM-V Table X'!AI15)</f>
        <v>127.55</v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2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>
        <f>IF('[1]Spreads VM-V Table X'!Z16=0,"",'[1]Spreads VM-V Table X'!Z16)</f>
        <v>28.27</v>
      </c>
      <c r="O16" s="44">
        <f>IF('[1]Spreads VM-V Table X'!AA16=0,"",'[1]Spreads VM-V Table X'!AA16)</f>
        <v>43.53</v>
      </c>
      <c r="P16" s="44">
        <f>IF('[1]Spreads VM-V Table X'!AB16=0,"",'[1]Spreads VM-V Table X'!AB16)</f>
        <v>58.78</v>
      </c>
      <c r="Q16" s="44">
        <f>IF('[1]Spreads VM-V Table X'!AC16=0,"",'[1]Spreads VM-V Table X'!AC16)</f>
        <v>66.19</v>
      </c>
      <c r="R16" s="44">
        <f>IF('[1]Spreads VM-V Table X'!AD16=0,"",'[1]Spreads VM-V Table X'!AD16)</f>
        <v>73.599999999999994</v>
      </c>
      <c r="S16" s="44">
        <f>IF('[1]Spreads VM-V Table X'!AE16=0,"",'[1]Spreads VM-V Table X'!AE16)</f>
        <v>81.010000000000005</v>
      </c>
      <c r="T16" s="44">
        <f>IF('[1]Spreads VM-V Table X'!AF16=0,"",'[1]Spreads VM-V Table X'!AF16)</f>
        <v>92.28</v>
      </c>
      <c r="U16" s="44">
        <f>IF('[1]Spreads VM-V Table X'!AG16=0,"",'[1]Spreads VM-V Table X'!AG16)</f>
        <v>103.56</v>
      </c>
      <c r="V16" s="44">
        <f>IF('[1]Spreads VM-V Table X'!AH16=0,"",'[1]Spreads VM-V Table X'!AH16)</f>
        <v>114.83</v>
      </c>
      <c r="W16" s="44">
        <f>IF('[1]Spreads VM-V Table X'!AI16=0,"",'[1]Spreads VM-V Table X'!AI16)</f>
        <v>127.99</v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2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>
        <f>IF('[1]Spreads VM-V Table X'!Z17=0,"",'[1]Spreads VM-V Table X'!Z17)</f>
        <v>29.93</v>
      </c>
      <c r="O17" s="44">
        <f>IF('[1]Spreads VM-V Table X'!AA17=0,"",'[1]Spreads VM-V Table X'!AA17)</f>
        <v>44.91</v>
      </c>
      <c r="P17" s="44">
        <f>IF('[1]Spreads VM-V Table X'!AB17=0,"",'[1]Spreads VM-V Table X'!AB17)</f>
        <v>59.9</v>
      </c>
      <c r="Q17" s="44">
        <f>IF('[1]Spreads VM-V Table X'!AC17=0,"",'[1]Spreads VM-V Table X'!AC17)</f>
        <v>67</v>
      </c>
      <c r="R17" s="44">
        <f>IF('[1]Spreads VM-V Table X'!AD17=0,"",'[1]Spreads VM-V Table X'!AD17)</f>
        <v>74.099999999999994</v>
      </c>
      <c r="S17" s="44">
        <f>IF('[1]Spreads VM-V Table X'!AE17=0,"",'[1]Spreads VM-V Table X'!AE17)</f>
        <v>81.2</v>
      </c>
      <c r="T17" s="44">
        <f>IF('[1]Spreads VM-V Table X'!AF17=0,"",'[1]Spreads VM-V Table X'!AF17)</f>
        <v>92.7</v>
      </c>
      <c r="U17" s="44">
        <f>IF('[1]Spreads VM-V Table X'!AG17=0,"",'[1]Spreads VM-V Table X'!AG17)</f>
        <v>104.21</v>
      </c>
      <c r="V17" s="44">
        <f>IF('[1]Spreads VM-V Table X'!AH17=0,"",'[1]Spreads VM-V Table X'!AH17)</f>
        <v>115.71</v>
      </c>
      <c r="W17" s="44">
        <f>IF('[1]Spreads VM-V Table X'!AI17=0,"",'[1]Spreads VM-V Table X'!AI17)</f>
        <v>128.41999999999999</v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2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>
        <f>IF('[1]Spreads VM-V Table X'!Z18=0,"",'[1]Spreads VM-V Table X'!Z18)</f>
        <v>31.58</v>
      </c>
      <c r="O18" s="44">
        <f>IF('[1]Spreads VM-V Table X'!AA18=0,"",'[1]Spreads VM-V Table X'!AA18)</f>
        <v>46.3</v>
      </c>
      <c r="P18" s="44">
        <f>IF('[1]Spreads VM-V Table X'!AB18=0,"",'[1]Spreads VM-V Table X'!AB18)</f>
        <v>61.02</v>
      </c>
      <c r="Q18" s="44">
        <f>IF('[1]Spreads VM-V Table X'!AC18=0,"",'[1]Spreads VM-V Table X'!AC18)</f>
        <v>67.81</v>
      </c>
      <c r="R18" s="44">
        <f>IF('[1]Spreads VM-V Table X'!AD18=0,"",'[1]Spreads VM-V Table X'!AD18)</f>
        <v>74.599999999999994</v>
      </c>
      <c r="S18" s="44">
        <f>IF('[1]Spreads VM-V Table X'!AE18=0,"",'[1]Spreads VM-V Table X'!AE18)</f>
        <v>81.39</v>
      </c>
      <c r="T18" s="44">
        <f>IF('[1]Spreads VM-V Table X'!AF18=0,"",'[1]Spreads VM-V Table X'!AF18)</f>
        <v>93.12</v>
      </c>
      <c r="U18" s="44">
        <f>IF('[1]Spreads VM-V Table X'!AG18=0,"",'[1]Spreads VM-V Table X'!AG18)</f>
        <v>104.86</v>
      </c>
      <c r="V18" s="44">
        <f>IF('[1]Spreads VM-V Table X'!AH18=0,"",'[1]Spreads VM-V Table X'!AH18)</f>
        <v>116.59</v>
      </c>
      <c r="W18" s="44">
        <f>IF('[1]Spreads VM-V Table X'!AI18=0,"",'[1]Spreads VM-V Table X'!AI18)</f>
        <v>128.86000000000001</v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2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>
        <f>IF('[1]Spreads VM-V Table X'!Z19=0,"",'[1]Spreads VM-V Table X'!Z19)</f>
        <v>33.24</v>
      </c>
      <c r="O19" s="44">
        <f>IF('[1]Spreads VM-V Table X'!AA19=0,"",'[1]Spreads VM-V Table X'!AA19)</f>
        <v>47.69</v>
      </c>
      <c r="P19" s="44">
        <f>IF('[1]Spreads VM-V Table X'!AB19=0,"",'[1]Spreads VM-V Table X'!AB19)</f>
        <v>62.14</v>
      </c>
      <c r="Q19" s="44">
        <f>IF('[1]Spreads VM-V Table X'!AC19=0,"",'[1]Spreads VM-V Table X'!AC19)</f>
        <v>68.62</v>
      </c>
      <c r="R19" s="44">
        <f>IF('[1]Spreads VM-V Table X'!AD19=0,"",'[1]Spreads VM-V Table X'!AD19)</f>
        <v>75.099999999999994</v>
      </c>
      <c r="S19" s="44">
        <f>IF('[1]Spreads VM-V Table X'!AE19=0,"",'[1]Spreads VM-V Table X'!AE19)</f>
        <v>81.58</v>
      </c>
      <c r="T19" s="44">
        <f>IF('[1]Spreads VM-V Table X'!AF19=0,"",'[1]Spreads VM-V Table X'!AF19)</f>
        <v>93.54</v>
      </c>
      <c r="U19" s="44">
        <f>IF('[1]Spreads VM-V Table X'!AG19=0,"",'[1]Spreads VM-V Table X'!AG19)</f>
        <v>105.51</v>
      </c>
      <c r="V19" s="44">
        <f>IF('[1]Spreads VM-V Table X'!AH19=0,"",'[1]Spreads VM-V Table X'!AH19)</f>
        <v>117.47</v>
      </c>
      <c r="W19" s="44">
        <f>IF('[1]Spreads VM-V Table X'!AI19=0,"",'[1]Spreads VM-V Table X'!AI19)</f>
        <v>129.30000000000001</v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2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>
        <f>IF('[1]Spreads VM-V Table X'!Z20=0,"",'[1]Spreads VM-V Table X'!Z20)</f>
        <v>34.9</v>
      </c>
      <c r="O20" s="44">
        <f>IF('[1]Spreads VM-V Table X'!AA20=0,"",'[1]Spreads VM-V Table X'!AA20)</f>
        <v>49.08</v>
      </c>
      <c r="P20" s="44">
        <f>IF('[1]Spreads VM-V Table X'!AB20=0,"",'[1]Spreads VM-V Table X'!AB20)</f>
        <v>63.26</v>
      </c>
      <c r="Q20" s="44">
        <f>IF('[1]Spreads VM-V Table X'!AC20=0,"",'[1]Spreads VM-V Table X'!AC20)</f>
        <v>69.430000000000007</v>
      </c>
      <c r="R20" s="44">
        <f>IF('[1]Spreads VM-V Table X'!AD20=0,"",'[1]Spreads VM-V Table X'!AD20)</f>
        <v>75.599999999999994</v>
      </c>
      <c r="S20" s="44">
        <f>IF('[1]Spreads VM-V Table X'!AE20=0,"",'[1]Spreads VM-V Table X'!AE20)</f>
        <v>81.77</v>
      </c>
      <c r="T20" s="44">
        <f>IF('[1]Spreads VM-V Table X'!AF20=0,"",'[1]Spreads VM-V Table X'!AF20)</f>
        <v>93.96</v>
      </c>
      <c r="U20" s="44">
        <f>IF('[1]Spreads VM-V Table X'!AG20=0,"",'[1]Spreads VM-V Table X'!AG20)</f>
        <v>106.16</v>
      </c>
      <c r="V20" s="44">
        <f>IF('[1]Spreads VM-V Table X'!AH20=0,"",'[1]Spreads VM-V Table X'!AH20)</f>
        <v>118.35</v>
      </c>
      <c r="W20" s="44">
        <f>IF('[1]Spreads VM-V Table X'!AI20=0,"",'[1]Spreads VM-V Table X'!AI20)</f>
        <v>129.74</v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2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>
        <f>IF('[1]Spreads VM-V Table X'!Z21=0,"",'[1]Spreads VM-V Table X'!Z21)</f>
        <v>36.56</v>
      </c>
      <c r="O21" s="44">
        <f>IF('[1]Spreads VM-V Table X'!AA21=0,"",'[1]Spreads VM-V Table X'!AA21)</f>
        <v>50.47</v>
      </c>
      <c r="P21" s="44">
        <f>IF('[1]Spreads VM-V Table X'!AB21=0,"",'[1]Spreads VM-V Table X'!AB21)</f>
        <v>64.38</v>
      </c>
      <c r="Q21" s="44">
        <f>IF('[1]Spreads VM-V Table X'!AC21=0,"",'[1]Spreads VM-V Table X'!AC21)</f>
        <v>70.239999999999995</v>
      </c>
      <c r="R21" s="44">
        <f>IF('[1]Spreads VM-V Table X'!AD21=0,"",'[1]Spreads VM-V Table X'!AD21)</f>
        <v>76.099999999999994</v>
      </c>
      <c r="S21" s="44">
        <f>IF('[1]Spreads VM-V Table X'!AE21=0,"",'[1]Spreads VM-V Table X'!AE21)</f>
        <v>81.96</v>
      </c>
      <c r="T21" s="44">
        <f>IF('[1]Spreads VM-V Table X'!AF21=0,"",'[1]Spreads VM-V Table X'!AF21)</f>
        <v>94.38</v>
      </c>
      <c r="U21" s="44">
        <f>IF('[1]Spreads VM-V Table X'!AG21=0,"",'[1]Spreads VM-V Table X'!AG21)</f>
        <v>106.81</v>
      </c>
      <c r="V21" s="44">
        <f>IF('[1]Spreads VM-V Table X'!AH21=0,"",'[1]Spreads VM-V Table X'!AH21)</f>
        <v>119.23</v>
      </c>
      <c r="W21" s="44">
        <f>IF('[1]Spreads VM-V Table X'!AI21=0,"",'[1]Spreads VM-V Table X'!AI21)</f>
        <v>130.18</v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2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>
        <f>IF('[1]Spreads VM-V Table X'!Z22=0,"",'[1]Spreads VM-V Table X'!Z22)</f>
        <v>38.22</v>
      </c>
      <c r="O22" s="44">
        <f>IF('[1]Spreads VM-V Table X'!AA22=0,"",'[1]Spreads VM-V Table X'!AA22)</f>
        <v>51.86</v>
      </c>
      <c r="P22" s="44">
        <f>IF('[1]Spreads VM-V Table X'!AB22=0,"",'[1]Spreads VM-V Table X'!AB22)</f>
        <v>65.489999999999995</v>
      </c>
      <c r="Q22" s="44">
        <f>IF('[1]Spreads VM-V Table X'!AC22=0,"",'[1]Spreads VM-V Table X'!AC22)</f>
        <v>71.05</v>
      </c>
      <c r="R22" s="44">
        <f>IF('[1]Spreads VM-V Table X'!AD22=0,"",'[1]Spreads VM-V Table X'!AD22)</f>
        <v>76.599999999999994</v>
      </c>
      <c r="S22" s="44">
        <f>IF('[1]Spreads VM-V Table X'!AE22=0,"",'[1]Spreads VM-V Table X'!AE22)</f>
        <v>82.15</v>
      </c>
      <c r="T22" s="44">
        <f>IF('[1]Spreads VM-V Table X'!AF22=0,"",'[1]Spreads VM-V Table X'!AF22)</f>
        <v>94.81</v>
      </c>
      <c r="U22" s="44">
        <f>IF('[1]Spreads VM-V Table X'!AG22=0,"",'[1]Spreads VM-V Table X'!AG22)</f>
        <v>107.46</v>
      </c>
      <c r="V22" s="44">
        <f>IF('[1]Spreads VM-V Table X'!AH22=0,"",'[1]Spreads VM-V Table X'!AH22)</f>
        <v>120.11</v>
      </c>
      <c r="W22" s="44">
        <f>IF('[1]Spreads VM-V Table X'!AI22=0,"",'[1]Spreads VM-V Table X'!AI22)</f>
        <v>130.62</v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2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>
        <f>IF('[1]Spreads VM-V Table X'!Z23=0,"",'[1]Spreads VM-V Table X'!Z23)</f>
        <v>39.880000000000003</v>
      </c>
      <c r="O23" s="44">
        <f>IF('[1]Spreads VM-V Table X'!AA23=0,"",'[1]Spreads VM-V Table X'!AA23)</f>
        <v>53.25</v>
      </c>
      <c r="P23" s="44">
        <f>IF('[1]Spreads VM-V Table X'!AB23=0,"",'[1]Spreads VM-V Table X'!AB23)</f>
        <v>66.61</v>
      </c>
      <c r="Q23" s="44">
        <f>IF('[1]Spreads VM-V Table X'!AC23=0,"",'[1]Spreads VM-V Table X'!AC23)</f>
        <v>71.86</v>
      </c>
      <c r="R23" s="44">
        <f>IF('[1]Spreads VM-V Table X'!AD23=0,"",'[1]Spreads VM-V Table X'!AD23)</f>
        <v>77.099999999999994</v>
      </c>
      <c r="S23" s="44">
        <f>IF('[1]Spreads VM-V Table X'!AE23=0,"",'[1]Spreads VM-V Table X'!AE23)</f>
        <v>82.34</v>
      </c>
      <c r="T23" s="44">
        <f>IF('[1]Spreads VM-V Table X'!AF23=0,"",'[1]Spreads VM-V Table X'!AF23)</f>
        <v>95.23</v>
      </c>
      <c r="U23" s="44">
        <f>IF('[1]Spreads VM-V Table X'!AG23=0,"",'[1]Spreads VM-V Table X'!AG23)</f>
        <v>108.11</v>
      </c>
      <c r="V23" s="44">
        <f>IF('[1]Spreads VM-V Table X'!AH23=0,"",'[1]Spreads VM-V Table X'!AH23)</f>
        <v>120.99</v>
      </c>
      <c r="W23" s="44">
        <f>IF('[1]Spreads VM-V Table X'!AI23=0,"",'[1]Spreads VM-V Table X'!AI23)</f>
        <v>131.06</v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2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>
        <f>IF('[1]Spreads VM-V Table X'!Z24=0,"",'[1]Spreads VM-V Table X'!Z24)</f>
        <v>41.54</v>
      </c>
      <c r="O24" s="44">
        <f>IF('[1]Spreads VM-V Table X'!AA24=0,"",'[1]Spreads VM-V Table X'!AA24)</f>
        <v>54.63</v>
      </c>
      <c r="P24" s="44">
        <f>IF('[1]Spreads VM-V Table X'!AB24=0,"",'[1]Spreads VM-V Table X'!AB24)</f>
        <v>67.73</v>
      </c>
      <c r="Q24" s="44">
        <f>IF('[1]Spreads VM-V Table X'!AC24=0,"",'[1]Spreads VM-V Table X'!AC24)</f>
        <v>72.66</v>
      </c>
      <c r="R24" s="44">
        <f>IF('[1]Spreads VM-V Table X'!AD24=0,"",'[1]Spreads VM-V Table X'!AD24)</f>
        <v>77.599999999999994</v>
      </c>
      <c r="S24" s="44">
        <f>IF('[1]Spreads VM-V Table X'!AE24=0,"",'[1]Spreads VM-V Table X'!AE24)</f>
        <v>82.54</v>
      </c>
      <c r="T24" s="44">
        <f>IF('[1]Spreads VM-V Table X'!AF24=0,"",'[1]Spreads VM-V Table X'!AF24)</f>
        <v>95.65</v>
      </c>
      <c r="U24" s="44">
        <f>IF('[1]Spreads VM-V Table X'!AG24=0,"",'[1]Spreads VM-V Table X'!AG24)</f>
        <v>108.76</v>
      </c>
      <c r="V24" s="44">
        <f>IF('[1]Spreads VM-V Table X'!AH24=0,"",'[1]Spreads VM-V Table X'!AH24)</f>
        <v>121.87</v>
      </c>
      <c r="W24" s="44">
        <f>IF('[1]Spreads VM-V Table X'!AI24=0,"",'[1]Spreads VM-V Table X'!AI24)</f>
        <v>131.5</v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2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>
        <f>IF('[1]Spreads VM-V Table X'!Z25=0,"",'[1]Spreads VM-V Table X'!Z25)</f>
        <v>43.2</v>
      </c>
      <c r="O25" s="44">
        <f>IF('[1]Spreads VM-V Table X'!AA25=0,"",'[1]Spreads VM-V Table X'!AA25)</f>
        <v>56.02</v>
      </c>
      <c r="P25" s="44">
        <f>IF('[1]Spreads VM-V Table X'!AB25=0,"",'[1]Spreads VM-V Table X'!AB25)</f>
        <v>68.849999999999994</v>
      </c>
      <c r="Q25" s="44">
        <f>IF('[1]Spreads VM-V Table X'!AC25=0,"",'[1]Spreads VM-V Table X'!AC25)</f>
        <v>73.47</v>
      </c>
      <c r="R25" s="44">
        <f>IF('[1]Spreads VM-V Table X'!AD25=0,"",'[1]Spreads VM-V Table X'!AD25)</f>
        <v>78.099999999999994</v>
      </c>
      <c r="S25" s="44">
        <f>IF('[1]Spreads VM-V Table X'!AE25=0,"",'[1]Spreads VM-V Table X'!AE25)</f>
        <v>82.73</v>
      </c>
      <c r="T25" s="44">
        <f>IF('[1]Spreads VM-V Table X'!AF25=0,"",'[1]Spreads VM-V Table X'!AF25)</f>
        <v>96.07</v>
      </c>
      <c r="U25" s="44">
        <f>IF('[1]Spreads VM-V Table X'!AG25=0,"",'[1]Spreads VM-V Table X'!AG25)</f>
        <v>109.41</v>
      </c>
      <c r="V25" s="44">
        <f>IF('[1]Spreads VM-V Table X'!AH25=0,"",'[1]Spreads VM-V Table X'!AH25)</f>
        <v>122.74</v>
      </c>
      <c r="W25" s="44">
        <f>IF('[1]Spreads VM-V Table X'!AI25=0,"",'[1]Spreads VM-V Table X'!AI25)</f>
        <v>131.94</v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2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>
        <f>IF('[1]Spreads VM-V Table X'!Z26=0,"",'[1]Spreads VM-V Table X'!Z26)</f>
        <v>44.86</v>
      </c>
      <c r="O26" s="44">
        <f>IF('[1]Spreads VM-V Table X'!AA26=0,"",'[1]Spreads VM-V Table X'!AA26)</f>
        <v>57.41</v>
      </c>
      <c r="P26" s="44">
        <f>IF('[1]Spreads VM-V Table X'!AB26=0,"",'[1]Spreads VM-V Table X'!AB26)</f>
        <v>69.97</v>
      </c>
      <c r="Q26" s="44">
        <f>IF('[1]Spreads VM-V Table X'!AC26=0,"",'[1]Spreads VM-V Table X'!AC26)</f>
        <v>74.28</v>
      </c>
      <c r="R26" s="44">
        <f>IF('[1]Spreads VM-V Table X'!AD26=0,"",'[1]Spreads VM-V Table X'!AD26)</f>
        <v>78.599999999999994</v>
      </c>
      <c r="S26" s="44">
        <f>IF('[1]Spreads VM-V Table X'!AE26=0,"",'[1]Spreads VM-V Table X'!AE26)</f>
        <v>82.92</v>
      </c>
      <c r="T26" s="44">
        <f>IF('[1]Spreads VM-V Table X'!AF26=0,"",'[1]Spreads VM-V Table X'!AF26)</f>
        <v>96.49</v>
      </c>
      <c r="U26" s="44">
        <f>IF('[1]Spreads VM-V Table X'!AG26=0,"",'[1]Spreads VM-V Table X'!AG26)</f>
        <v>110.05</v>
      </c>
      <c r="V26" s="44">
        <f>IF('[1]Spreads VM-V Table X'!AH26=0,"",'[1]Spreads VM-V Table X'!AH26)</f>
        <v>123.62</v>
      </c>
      <c r="W26" s="44">
        <f>IF('[1]Spreads VM-V Table X'!AI26=0,"",'[1]Spreads VM-V Table X'!AI26)</f>
        <v>132.38</v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2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>
        <f>IF('[1]Spreads VM-V Table X'!Z27=0,"",'[1]Spreads VM-V Table X'!Z27)</f>
        <v>46.52</v>
      </c>
      <c r="O27" s="44">
        <f>IF('[1]Spreads VM-V Table X'!AA27=0,"",'[1]Spreads VM-V Table X'!AA27)</f>
        <v>58.8</v>
      </c>
      <c r="P27" s="44">
        <f>IF('[1]Spreads VM-V Table X'!AB27=0,"",'[1]Spreads VM-V Table X'!AB27)</f>
        <v>71.08</v>
      </c>
      <c r="Q27" s="44">
        <f>IF('[1]Spreads VM-V Table X'!AC27=0,"",'[1]Spreads VM-V Table X'!AC27)</f>
        <v>75.09</v>
      </c>
      <c r="R27" s="44">
        <f>IF('[1]Spreads VM-V Table X'!AD27=0,"",'[1]Spreads VM-V Table X'!AD27)</f>
        <v>79.099999999999994</v>
      </c>
      <c r="S27" s="44">
        <f>IF('[1]Spreads VM-V Table X'!AE27=0,"",'[1]Spreads VM-V Table X'!AE27)</f>
        <v>83.11</v>
      </c>
      <c r="T27" s="44">
        <f>IF('[1]Spreads VM-V Table X'!AF27=0,"",'[1]Spreads VM-V Table X'!AF27)</f>
        <v>96.91</v>
      </c>
      <c r="U27" s="44">
        <f>IF('[1]Spreads VM-V Table X'!AG27=0,"",'[1]Spreads VM-V Table X'!AG27)</f>
        <v>110.7</v>
      </c>
      <c r="V27" s="44">
        <f>IF('[1]Spreads VM-V Table X'!AH27=0,"",'[1]Spreads VM-V Table X'!AH27)</f>
        <v>124.5</v>
      </c>
      <c r="W27" s="44">
        <f>IF('[1]Spreads VM-V Table X'!AI27=0,"",'[1]Spreads VM-V Table X'!AI27)</f>
        <v>132.82</v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2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>
        <f>IF('[1]Spreads VM-V Table X'!Z28=0,"",'[1]Spreads VM-V Table X'!Z28)</f>
        <v>48.18</v>
      </c>
      <c r="O28" s="44">
        <f>IF('[1]Spreads VM-V Table X'!AA28=0,"",'[1]Spreads VM-V Table X'!AA28)</f>
        <v>60.19</v>
      </c>
      <c r="P28" s="44">
        <f>IF('[1]Spreads VM-V Table X'!AB28=0,"",'[1]Spreads VM-V Table X'!AB28)</f>
        <v>72.2</v>
      </c>
      <c r="Q28" s="44">
        <f>IF('[1]Spreads VM-V Table X'!AC28=0,"",'[1]Spreads VM-V Table X'!AC28)</f>
        <v>75.900000000000006</v>
      </c>
      <c r="R28" s="44">
        <f>IF('[1]Spreads VM-V Table X'!AD28=0,"",'[1]Spreads VM-V Table X'!AD28)</f>
        <v>79.599999999999994</v>
      </c>
      <c r="S28" s="44">
        <f>IF('[1]Spreads VM-V Table X'!AE28=0,"",'[1]Spreads VM-V Table X'!AE28)</f>
        <v>83.3</v>
      </c>
      <c r="T28" s="44">
        <f>IF('[1]Spreads VM-V Table X'!AF28=0,"",'[1]Spreads VM-V Table X'!AF28)</f>
        <v>97.33</v>
      </c>
      <c r="U28" s="44">
        <f>IF('[1]Spreads VM-V Table X'!AG28=0,"",'[1]Spreads VM-V Table X'!AG28)</f>
        <v>111.35</v>
      </c>
      <c r="V28" s="44">
        <f>IF('[1]Spreads VM-V Table X'!AH28=0,"",'[1]Spreads VM-V Table X'!AH28)</f>
        <v>125.38</v>
      </c>
      <c r="W28" s="44">
        <f>IF('[1]Spreads VM-V Table X'!AI28=0,"",'[1]Spreads VM-V Table X'!AI28)</f>
        <v>133.26</v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2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>
        <f>IF('[1]Spreads VM-V Table X'!Z29=0,"",'[1]Spreads VM-V Table X'!Z29)</f>
        <v>49.84</v>
      </c>
      <c r="O29" s="44">
        <f>IF('[1]Spreads VM-V Table X'!AA29=0,"",'[1]Spreads VM-V Table X'!AA29)</f>
        <v>61.58</v>
      </c>
      <c r="P29" s="44">
        <f>IF('[1]Spreads VM-V Table X'!AB29=0,"",'[1]Spreads VM-V Table X'!AB29)</f>
        <v>73.319999999999993</v>
      </c>
      <c r="Q29" s="44">
        <f>IF('[1]Spreads VM-V Table X'!AC29=0,"",'[1]Spreads VM-V Table X'!AC29)</f>
        <v>76.709999999999994</v>
      </c>
      <c r="R29" s="44">
        <f>IF('[1]Spreads VM-V Table X'!AD29=0,"",'[1]Spreads VM-V Table X'!AD29)</f>
        <v>80.099999999999994</v>
      </c>
      <c r="S29" s="44">
        <f>IF('[1]Spreads VM-V Table X'!AE29=0,"",'[1]Spreads VM-V Table X'!AE29)</f>
        <v>83.49</v>
      </c>
      <c r="T29" s="44">
        <f>IF('[1]Spreads VM-V Table X'!AF29=0,"",'[1]Spreads VM-V Table X'!AF29)</f>
        <v>97.75</v>
      </c>
      <c r="U29" s="44">
        <f>IF('[1]Spreads VM-V Table X'!AG29=0,"",'[1]Spreads VM-V Table X'!AG29)</f>
        <v>112</v>
      </c>
      <c r="V29" s="44">
        <f>IF('[1]Spreads VM-V Table X'!AH29=0,"",'[1]Spreads VM-V Table X'!AH29)</f>
        <v>126.26</v>
      </c>
      <c r="W29" s="44">
        <f>IF('[1]Spreads VM-V Table X'!AI29=0,"",'[1]Spreads VM-V Table X'!AI29)</f>
        <v>133.69999999999999</v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2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>
        <f>IF('[1]Spreads VM-V Table X'!Z30=0,"",'[1]Spreads VM-V Table X'!Z30)</f>
        <v>51.5</v>
      </c>
      <c r="O30" s="44">
        <f>IF('[1]Spreads VM-V Table X'!AA30=0,"",'[1]Spreads VM-V Table X'!AA30)</f>
        <v>62.97</v>
      </c>
      <c r="P30" s="44">
        <f>IF('[1]Spreads VM-V Table X'!AB30=0,"",'[1]Spreads VM-V Table X'!AB30)</f>
        <v>74.44</v>
      </c>
      <c r="Q30" s="44">
        <f>IF('[1]Spreads VM-V Table X'!AC30=0,"",'[1]Spreads VM-V Table X'!AC30)</f>
        <v>77.52</v>
      </c>
      <c r="R30" s="44">
        <f>IF('[1]Spreads VM-V Table X'!AD30=0,"",'[1]Spreads VM-V Table X'!AD30)</f>
        <v>80.599999999999994</v>
      </c>
      <c r="S30" s="44">
        <f>IF('[1]Spreads VM-V Table X'!AE30=0,"",'[1]Spreads VM-V Table X'!AE30)</f>
        <v>83.68</v>
      </c>
      <c r="T30" s="44">
        <f>IF('[1]Spreads VM-V Table X'!AF30=0,"",'[1]Spreads VM-V Table X'!AF30)</f>
        <v>98.17</v>
      </c>
      <c r="U30" s="44">
        <f>IF('[1]Spreads VM-V Table X'!AG30=0,"",'[1]Spreads VM-V Table X'!AG30)</f>
        <v>112.65</v>
      </c>
      <c r="V30" s="44">
        <f>IF('[1]Spreads VM-V Table X'!AH30=0,"",'[1]Spreads VM-V Table X'!AH30)</f>
        <v>127.14</v>
      </c>
      <c r="W30" s="44">
        <f>IF('[1]Spreads VM-V Table X'!AI30=0,"",'[1]Spreads VM-V Table X'!AI30)</f>
        <v>134.13999999999999</v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2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>
        <f>IF('[1]Spreads VM-V Table X'!Z31=0,"",'[1]Spreads VM-V Table X'!Z31)</f>
        <v>53.16</v>
      </c>
      <c r="O31" s="44">
        <f>IF('[1]Spreads VM-V Table X'!AA31=0,"",'[1]Spreads VM-V Table X'!AA31)</f>
        <v>64.36</v>
      </c>
      <c r="P31" s="44">
        <f>IF('[1]Spreads VM-V Table X'!AB31=0,"",'[1]Spreads VM-V Table X'!AB31)</f>
        <v>75.56</v>
      </c>
      <c r="Q31" s="44">
        <f>IF('[1]Spreads VM-V Table X'!AC31=0,"",'[1]Spreads VM-V Table X'!AC31)</f>
        <v>78.33</v>
      </c>
      <c r="R31" s="44">
        <f>IF('[1]Spreads VM-V Table X'!AD31=0,"",'[1]Spreads VM-V Table X'!AD31)</f>
        <v>81.099999999999994</v>
      </c>
      <c r="S31" s="44">
        <f>IF('[1]Spreads VM-V Table X'!AE31=0,"",'[1]Spreads VM-V Table X'!AE31)</f>
        <v>83.87</v>
      </c>
      <c r="T31" s="44">
        <f>IF('[1]Spreads VM-V Table X'!AF31=0,"",'[1]Spreads VM-V Table X'!AF31)</f>
        <v>98.59</v>
      </c>
      <c r="U31" s="44">
        <f>IF('[1]Spreads VM-V Table X'!AG31=0,"",'[1]Spreads VM-V Table X'!AG31)</f>
        <v>113.3</v>
      </c>
      <c r="V31" s="44">
        <f>IF('[1]Spreads VM-V Table X'!AH31=0,"",'[1]Spreads VM-V Table X'!AH31)</f>
        <v>128.02000000000001</v>
      </c>
      <c r="W31" s="44">
        <f>IF('[1]Spreads VM-V Table X'!AI31=0,"",'[1]Spreads VM-V Table X'!AI31)</f>
        <v>134.58000000000001</v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2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>
        <f>IF('[1]Spreads VM-V Table X'!Z32=0,"",'[1]Spreads VM-V Table X'!Z32)</f>
        <v>54.81</v>
      </c>
      <c r="O32" s="44">
        <f>IF('[1]Spreads VM-V Table X'!AA32=0,"",'[1]Spreads VM-V Table X'!AA32)</f>
        <v>65.739999999999995</v>
      </c>
      <c r="P32" s="44">
        <f>IF('[1]Spreads VM-V Table X'!AB32=0,"",'[1]Spreads VM-V Table X'!AB32)</f>
        <v>76.680000000000007</v>
      </c>
      <c r="Q32" s="44">
        <f>IF('[1]Spreads VM-V Table X'!AC32=0,"",'[1]Spreads VM-V Table X'!AC32)</f>
        <v>79.14</v>
      </c>
      <c r="R32" s="44">
        <f>IF('[1]Spreads VM-V Table X'!AD32=0,"",'[1]Spreads VM-V Table X'!AD32)</f>
        <v>81.599999999999994</v>
      </c>
      <c r="S32" s="44">
        <f>IF('[1]Spreads VM-V Table X'!AE32=0,"",'[1]Spreads VM-V Table X'!AE32)</f>
        <v>84.06</v>
      </c>
      <c r="T32" s="44">
        <f>IF('[1]Spreads VM-V Table X'!AF32=0,"",'[1]Spreads VM-V Table X'!AF32)</f>
        <v>99.01</v>
      </c>
      <c r="U32" s="44">
        <f>IF('[1]Spreads VM-V Table X'!AG32=0,"",'[1]Spreads VM-V Table X'!AG32)</f>
        <v>113.95</v>
      </c>
      <c r="V32" s="44">
        <f>IF('[1]Spreads VM-V Table X'!AH32=0,"",'[1]Spreads VM-V Table X'!AH32)</f>
        <v>128.9</v>
      </c>
      <c r="W32" s="44">
        <f>IF('[1]Spreads VM-V Table X'!AI32=0,"",'[1]Spreads VM-V Table X'!AI32)</f>
        <v>135.02000000000001</v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2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>
        <f>IF('[1]Spreads VM-V Table X'!Z33=0,"",'[1]Spreads VM-V Table X'!Z33)</f>
        <v>56.47</v>
      </c>
      <c r="O33" s="44">
        <f>IF('[1]Spreads VM-V Table X'!AA33=0,"",'[1]Spreads VM-V Table X'!AA33)</f>
        <v>67.13</v>
      </c>
      <c r="P33" s="44">
        <f>IF('[1]Spreads VM-V Table X'!AB33=0,"",'[1]Spreads VM-V Table X'!AB33)</f>
        <v>77.790000000000006</v>
      </c>
      <c r="Q33" s="44">
        <f>IF('[1]Spreads VM-V Table X'!AC33=0,"",'[1]Spreads VM-V Table X'!AC33)</f>
        <v>79.95</v>
      </c>
      <c r="R33" s="44">
        <f>IF('[1]Spreads VM-V Table X'!AD33=0,"",'[1]Spreads VM-V Table X'!AD33)</f>
        <v>82.1</v>
      </c>
      <c r="S33" s="44">
        <f>IF('[1]Spreads VM-V Table X'!AE33=0,"",'[1]Spreads VM-V Table X'!AE33)</f>
        <v>84.25</v>
      </c>
      <c r="T33" s="44">
        <f>IF('[1]Spreads VM-V Table X'!AF33=0,"",'[1]Spreads VM-V Table X'!AF33)</f>
        <v>99.43</v>
      </c>
      <c r="U33" s="44">
        <f>IF('[1]Spreads VM-V Table X'!AG33=0,"",'[1]Spreads VM-V Table X'!AG33)</f>
        <v>114.6</v>
      </c>
      <c r="V33" s="44">
        <f>IF('[1]Spreads VM-V Table X'!AH33=0,"",'[1]Spreads VM-V Table X'!AH33)</f>
        <v>129.78</v>
      </c>
      <c r="W33" s="44">
        <f>IF('[1]Spreads VM-V Table X'!AI33=0,"",'[1]Spreads VM-V Table X'!AI33)</f>
        <v>135.46</v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2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>
        <f>IF('[1]Spreads VM-V Table X'!Z34=0,"",'[1]Spreads VM-V Table X'!Z34)</f>
        <v>58.13</v>
      </c>
      <c r="O34" s="44">
        <f>IF('[1]Spreads VM-V Table X'!AA34=0,"",'[1]Spreads VM-V Table X'!AA34)</f>
        <v>68.52</v>
      </c>
      <c r="P34" s="44">
        <f>IF('[1]Spreads VM-V Table X'!AB34=0,"",'[1]Spreads VM-V Table X'!AB34)</f>
        <v>78.91</v>
      </c>
      <c r="Q34" s="44">
        <f>IF('[1]Spreads VM-V Table X'!AC34=0,"",'[1]Spreads VM-V Table X'!AC34)</f>
        <v>80.760000000000005</v>
      </c>
      <c r="R34" s="44">
        <f>IF('[1]Spreads VM-V Table X'!AD34=0,"",'[1]Spreads VM-V Table X'!AD34)</f>
        <v>82.6</v>
      </c>
      <c r="S34" s="44">
        <f>IF('[1]Spreads VM-V Table X'!AE34=0,"",'[1]Spreads VM-V Table X'!AE34)</f>
        <v>84.44</v>
      </c>
      <c r="T34" s="44">
        <f>IF('[1]Spreads VM-V Table X'!AF34=0,"",'[1]Spreads VM-V Table X'!AF34)</f>
        <v>99.85</v>
      </c>
      <c r="U34" s="44">
        <f>IF('[1]Spreads VM-V Table X'!AG34=0,"",'[1]Spreads VM-V Table X'!AG34)</f>
        <v>115.25</v>
      </c>
      <c r="V34" s="44">
        <f>IF('[1]Spreads VM-V Table X'!AH34=0,"",'[1]Spreads VM-V Table X'!AH34)</f>
        <v>130.65</v>
      </c>
      <c r="W34" s="44">
        <f>IF('[1]Spreads VM-V Table X'!AI34=0,"",'[1]Spreads VM-V Table X'!AI34)</f>
        <v>135.9</v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2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>
        <f>IF('[1]Spreads VM-V Table X'!Z35=0,"",'[1]Spreads VM-V Table X'!Z35)</f>
        <v>59.79</v>
      </c>
      <c r="O35" s="44">
        <f>IF('[1]Spreads VM-V Table X'!AA35=0,"",'[1]Spreads VM-V Table X'!AA35)</f>
        <v>69.91</v>
      </c>
      <c r="P35" s="44">
        <f>IF('[1]Spreads VM-V Table X'!AB35=0,"",'[1]Spreads VM-V Table X'!AB35)</f>
        <v>80.03</v>
      </c>
      <c r="Q35" s="44">
        <f>IF('[1]Spreads VM-V Table X'!AC35=0,"",'[1]Spreads VM-V Table X'!AC35)</f>
        <v>81.56</v>
      </c>
      <c r="R35" s="44">
        <f>IF('[1]Spreads VM-V Table X'!AD35=0,"",'[1]Spreads VM-V Table X'!AD35)</f>
        <v>83.1</v>
      </c>
      <c r="S35" s="44">
        <f>IF('[1]Spreads VM-V Table X'!AE35=0,"",'[1]Spreads VM-V Table X'!AE35)</f>
        <v>84.64</v>
      </c>
      <c r="T35" s="44">
        <f>IF('[1]Spreads VM-V Table X'!AF35=0,"",'[1]Spreads VM-V Table X'!AF35)</f>
        <v>100.27</v>
      </c>
      <c r="U35" s="44">
        <f>IF('[1]Spreads VM-V Table X'!AG35=0,"",'[1]Spreads VM-V Table X'!AG35)</f>
        <v>115.9</v>
      </c>
      <c r="V35" s="44">
        <f>IF('[1]Spreads VM-V Table X'!AH35=0,"",'[1]Spreads VM-V Table X'!AH35)</f>
        <v>131.53</v>
      </c>
      <c r="W35" s="44">
        <f>IF('[1]Spreads VM-V Table X'!AI35=0,"",'[1]Spreads VM-V Table X'!AI35)</f>
        <v>136.33000000000001</v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2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>
        <f>IF('[1]Spreads VM-V Table X'!Z36=0,"",'[1]Spreads VM-V Table X'!Z36)</f>
        <v>36.56166666666666</v>
      </c>
      <c r="O36" s="44">
        <f>IF('[1]Spreads VM-V Table X'!AA36=0,"",'[1]Spreads VM-V Table X'!AA36)</f>
        <v>48.642333333333326</v>
      </c>
      <c r="P36" s="44">
        <f>IF('[1]Spreads VM-V Table X'!AB36=0,"",'[1]Spreads VM-V Table X'!AB36)</f>
        <v>60.723666666666666</v>
      </c>
      <c r="Q36" s="44">
        <f>IF('[1]Spreads VM-V Table X'!AC36=0,"",'[1]Spreads VM-V Table X'!AC36)</f>
        <v>66.085666666666668</v>
      </c>
      <c r="R36" s="44">
        <f>IF('[1]Spreads VM-V Table X'!AD36=0,"",'[1]Spreads VM-V Table X'!AD36)</f>
        <v>71.44699999999996</v>
      </c>
      <c r="S36" s="44">
        <f>IF('[1]Spreads VM-V Table X'!AE36=0,"",'[1]Spreads VM-V Table X'!AE36)</f>
        <v>76.809666666666672</v>
      </c>
      <c r="T36" s="44">
        <f>IF('[1]Spreads VM-V Table X'!AF36=0,"",'[1]Spreads VM-V Table X'!AF36)</f>
        <v>89.192666666666668</v>
      </c>
      <c r="U36" s="44">
        <f>IF('[1]Spreads VM-V Table X'!AG36=0,"",'[1]Spreads VM-V Table X'!AG36)</f>
        <v>101.57433333333333</v>
      </c>
      <c r="V36" s="44">
        <f>IF('[1]Spreads VM-V Table X'!AH36=0,"",'[1]Spreads VM-V Table X'!AH36)</f>
        <v>113.95666666666668</v>
      </c>
      <c r="W36" s="44">
        <f>IF('[1]Spreads VM-V Table X'!AI36=0,"",'[1]Spreads VM-V Table X'!AI36)</f>
        <v>127.54666666666667</v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5" x14ac:dyDescent="0.2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333375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2026-04-01T20:52:58Z</dcterms:modified>
</cp:coreProperties>
</file>